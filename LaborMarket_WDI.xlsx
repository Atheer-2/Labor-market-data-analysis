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aff03946d575e1/Desktop/"/>
    </mc:Choice>
  </mc:AlternateContent>
  <xr:revisionPtr revIDLastSave="47" documentId="8_{3358B4A5-73D6-4F87-9FE6-6E8C06C0E5B9}" xr6:coauthVersionLast="47" xr6:coauthVersionMax="47" xr10:uidLastSave="{2F79E173-37B2-42C0-8789-2377DCC270D6}"/>
  <bookViews>
    <workbookView xWindow="-108" yWindow="-108" windowWidth="23256" windowHeight="12456" xr2:uid="{21C34AAE-5EEB-4B9B-A7F4-C7E2F26ABB0C}"/>
  </bookViews>
  <sheets>
    <sheet name="Cleaned_Data" sheetId="1" r:id="rId1"/>
    <sheet name="LaborMarket_WDI" sheetId="6" state="hidden" r:id="rId2"/>
    <sheet name="Descriptives" sheetId="2" r:id="rId3"/>
    <sheet name="Report" sheetId="5" r:id="rId4"/>
    <sheet name="Charts" sheetId="3" r:id="rId5"/>
    <sheet name="Analysis" sheetId="4" r:id="rId6"/>
    <sheet name="REG.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B9" i="4"/>
  <c r="D9" i="4"/>
  <c r="G25" i="6"/>
  <c r="G23" i="6"/>
  <c r="G24" i="6"/>
  <c r="H5" i="2" l="1"/>
  <c r="H6" i="2"/>
  <c r="H7" i="2"/>
  <c r="H8" i="2"/>
  <c r="H9" i="2"/>
  <c r="H10" i="2"/>
  <c r="H11" i="2"/>
  <c r="H12" i="2"/>
  <c r="G5" i="2"/>
  <c r="B7" i="4" s="1"/>
  <c r="G6" i="2"/>
  <c r="B8" i="4" s="1"/>
  <c r="G7" i="2"/>
  <c r="G8" i="2"/>
  <c r="C7" i="4" s="1"/>
  <c r="G9" i="2"/>
  <c r="C8" i="4" s="1"/>
  <c r="G10" i="2"/>
  <c r="G11" i="2"/>
  <c r="D7" i="4" s="1"/>
  <c r="G12" i="2"/>
  <c r="D8" i="4" s="1"/>
  <c r="F5" i="2"/>
  <c r="F6" i="2"/>
  <c r="F7" i="2"/>
  <c r="F8" i="2"/>
  <c r="F9" i="2"/>
  <c r="F10" i="2"/>
  <c r="F11" i="2"/>
  <c r="F12" i="2"/>
  <c r="E5" i="2"/>
  <c r="E6" i="2"/>
  <c r="E7" i="2"/>
  <c r="E8" i="2"/>
  <c r="E9" i="2"/>
  <c r="E10" i="2"/>
  <c r="E11" i="2"/>
  <c r="E12" i="2"/>
  <c r="H4" i="2"/>
  <c r="G4" i="2"/>
  <c r="F4" i="2"/>
  <c r="E4" i="2"/>
  <c r="D5" i="2"/>
  <c r="D6" i="2"/>
  <c r="D7" i="2"/>
  <c r="D8" i="2"/>
  <c r="D9" i="2"/>
  <c r="D10" i="2"/>
  <c r="D11" i="2"/>
  <c r="D12" i="2"/>
  <c r="D4" i="2"/>
  <c r="C9" i="2"/>
  <c r="F17" i="2" s="1"/>
  <c r="C10" i="2"/>
  <c r="D18" i="2" s="1"/>
  <c r="C11" i="2"/>
  <c r="E18" i="2" s="1"/>
  <c r="C12" i="2"/>
  <c r="F18" i="2" s="1"/>
  <c r="C8" i="2"/>
  <c r="E17" i="2" s="1"/>
  <c r="C7" i="2"/>
  <c r="D17" i="2" s="1"/>
  <c r="C6" i="2"/>
  <c r="F16" i="2" s="1"/>
  <c r="C5" i="2"/>
  <c r="E16" i="2" s="1"/>
  <c r="C4" i="2"/>
  <c r="D16" i="2" s="1"/>
  <c r="B5" i="4" l="1"/>
  <c r="B6" i="4"/>
  <c r="D6" i="4"/>
  <c r="D5" i="4"/>
  <c r="C6" i="4"/>
  <c r="C5" i="4"/>
  <c r="B4" i="4"/>
  <c r="C4" i="4"/>
  <c r="D4" i="4"/>
</calcChain>
</file>

<file path=xl/sharedStrings.xml><?xml version="1.0" encoding="utf-8"?>
<sst xmlns="http://schemas.openxmlformats.org/spreadsheetml/2006/main" count="140" uniqueCount="78">
  <si>
    <t>Indicator</t>
  </si>
  <si>
    <t>Country</t>
  </si>
  <si>
    <t>Saudi Arabia</t>
  </si>
  <si>
    <t>India</t>
  </si>
  <si>
    <t>Sudan</t>
  </si>
  <si>
    <t>Unemployment rate</t>
  </si>
  <si>
    <t>Labor force participation rate</t>
  </si>
  <si>
    <t>GDP growth</t>
  </si>
  <si>
    <t>Mean</t>
  </si>
  <si>
    <t>Median</t>
  </si>
  <si>
    <t>Min</t>
  </si>
  <si>
    <t>Max</t>
  </si>
  <si>
    <t>Count</t>
  </si>
  <si>
    <t>UR</t>
  </si>
  <si>
    <t>LFPR</t>
  </si>
  <si>
    <t>GDPG</t>
  </si>
  <si>
    <t>SAU</t>
  </si>
  <si>
    <t>IND</t>
  </si>
  <si>
    <t>SDN</t>
  </si>
  <si>
    <t>Sdevt.</t>
  </si>
  <si>
    <t>Comment</t>
  </si>
  <si>
    <t>Mean GDP growth</t>
  </si>
  <si>
    <t>Mean unemployment</t>
  </si>
  <si>
    <t>Mean labor force participation</t>
  </si>
  <si>
    <t>Stdev unemployment</t>
  </si>
  <si>
    <t>Stdev labor force participation</t>
  </si>
  <si>
    <t>Unemployment vs GDP (R²)</t>
  </si>
  <si>
    <t>Gender / education data</t>
  </si>
  <si>
    <t>Main structural factors</t>
  </si>
  <si>
    <t>not available</t>
  </si>
  <si>
    <t>Cross-Country and Trend Analysis</t>
  </si>
  <si>
    <t>Summary of results and interpretations</t>
  </si>
  <si>
    <t>India leads in growth</t>
  </si>
  <si>
    <t>Sudan has the highest unemployment</t>
  </si>
  <si>
    <t>India has the highest participation</t>
  </si>
  <si>
    <t>Sudan shows most volatility</t>
  </si>
  <si>
    <t>Rapid growth but, limited job creation</t>
  </si>
  <si>
    <t>Labor reforms, and Vision 2030 boosted participation</t>
  </si>
  <si>
    <t>Economic instability, and weak investment reduced employment</t>
  </si>
  <si>
    <t>Labor market analysis: Saudi Arabia, India, and Sudan</t>
  </si>
  <si>
    <t>Descriptive statistics of key labor market indicators (2000-2024)</t>
  </si>
  <si>
    <r>
      <t>Visual Summary:</t>
    </r>
    <r>
      <rPr>
        <sz val="12"/>
        <color theme="1"/>
        <rFont val="Arial"/>
        <family val="2"/>
        <scheme val="minor"/>
      </rPr>
      <t xml:space="preserve">                                                                                        The following charts highlight the main labor market trends and differences among the three countries.</t>
    </r>
  </si>
  <si>
    <r>
      <rPr>
        <b/>
        <sz val="12"/>
        <color theme="1"/>
        <rFont val="Arial"/>
        <family val="2"/>
        <scheme val="minor"/>
      </rPr>
      <t xml:space="preserve">Objectives: </t>
    </r>
    <r>
      <rPr>
        <sz val="12"/>
        <color theme="1"/>
        <rFont val="Arial"/>
        <family val="2"/>
        <scheme val="minor"/>
      </rPr>
      <t xml:space="preserve">                                                                                                       - To study labor market indicators, including GDP growth, unemployment, and labor force participation.                                                                                      - To compare the performance of three countries (Saudi Arabia, India, and Sudan).                                                                                                                - To understand how economic growth affects employment levels.</t>
    </r>
  </si>
  <si>
    <t>null</t>
  </si>
  <si>
    <t>Year (X)</t>
  </si>
  <si>
    <t>GDP (Y)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</si>
  <si>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</si>
  <si>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</si>
  <si>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</si>
  <si>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</si>
  <si>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</si>
  <si>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</si>
  <si>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</si>
  <si>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</si>
  <si>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</si>
  <si>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</si>
  <si>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</si>
  <si>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</si>
  <si>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</si>
  <si>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</si>
  <si>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</si>
  <si>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</si>
  <si>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</si>
  <si>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</si>
  <si>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</si>
  <si>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</si>
  <si>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</si>
  <si>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</si>
  <si>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</si>
  <si>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</si>
  <si>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GDP = 942.208415521896 - 0.467846699946703X</t>
  </si>
  <si>
    <t>The relationship is very weak in Saudi Arabia and India, and weak in Sudan</t>
  </si>
  <si>
    <t>Saudi Arabia shows the highest variability in labor force participation</t>
  </si>
  <si>
    <t>FORECASTING</t>
  </si>
  <si>
    <r>
      <rPr>
        <b/>
        <sz val="12"/>
        <color theme="1"/>
        <rFont val="Arial"/>
        <family val="2"/>
        <scheme val="minor"/>
      </rPr>
      <t>Key Findings:</t>
    </r>
    <r>
      <rPr>
        <sz val="12"/>
        <color theme="1"/>
        <rFont val="Arial"/>
        <family val="2"/>
        <scheme val="minor"/>
      </rPr>
      <t xml:space="preserve">                                                                                                    - India shows the highest GDP growth and labor force participation.                  - Saudi Arabia records relatively low unemployment and rising labor force participation.                                                                                                        - Sudan records negative growth and high unemployment, showing economic instability.                                                                                                             - A weak or negative link between GDP growth and unemployment appears in most cases.</t>
    </r>
  </si>
  <si>
    <r>
      <rPr>
        <b/>
        <sz val="12"/>
        <color theme="1"/>
        <rFont val="Arial"/>
        <family val="2"/>
        <scheme val="minor"/>
      </rPr>
      <t>Recommendations:</t>
    </r>
    <r>
      <rPr>
        <sz val="12"/>
        <color theme="1"/>
        <rFont val="Arial"/>
        <family val="2"/>
        <scheme val="minor"/>
      </rPr>
      <t xml:space="preserve">                                                                                          - Support job creation through economic diversification.                                     - Invest in education and skills to increase labor force participation.                   - Encourage private sector growth to reduce unemployment.                             - Improve data collection for gender and education-based indicators.</t>
    </r>
  </si>
  <si>
    <r>
      <rPr>
        <b/>
        <sz val="12"/>
        <color theme="1"/>
        <rFont val="Arial"/>
        <family val="2"/>
        <scheme val="minor"/>
      </rPr>
      <t xml:space="preserve">Date and Methods: </t>
    </r>
    <r>
      <rPr>
        <sz val="12"/>
        <color theme="1"/>
        <rFont val="Arial"/>
        <family val="2"/>
        <scheme val="minor"/>
      </rPr>
      <t xml:space="preserve">                                                                                           - Data were collected from the World Bank (2000 - 2024).                                 - The indicators used are GDP growth (annual %), Unemployment, total (% of total labor force), and labor force participation rate, total (% of total population ages 15-64).                                                                                                        - The project includes data cleaning, descriptive statistics, and charts to visualize and compare trends.</t>
    </r>
  </si>
  <si>
    <t>Missing GDP growth values for Sudan (2022–2024) were estimated using linear regression based on historical data from 2000–2021.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</si>
</sst>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&quot;%&quot;\ "/>
  </numFmts>
  <fonts count="8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5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0" fillId="0" borderId="12" xfId="0" applyBorder="1"/>
    <xf numFmtId="0" fontId="6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Continuous"/>
    </xf>
    <xf numFmtId="164" fontId="0" fillId="2" borderId="0" xfId="0" applyNumberFormat="1" applyFill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</cellXfs>
  <cellStyles count="2">
    <cellStyle name="Percent" xfId="1" builtinId="5"/>
    <cellStyle name="عادي" xfId="0" builtinId="0"/>
  </cellStyles>
  <dxfs count="3">
    <dxf>
      <border diagonalUp="0" diagonalDown="0">
        <left/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</dxfs>
  <tableStyles count="2" defaultTableStyle="TableStyleMedium2" defaultPivotStyle="PivotStyleLight16">
    <tableStyle name="نمط PivotTable 1" table="0" count="0" xr9:uid="{F83C50D5-B5EB-421C-BF28-A811497720B0}"/>
    <tableStyle name="نمط الجدول 1" pivot="0" count="0" xr9:uid="{BACFC917-E48B-42C7-A84D-923F483CF2F9}"/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Unemployment</a:t>
            </a:r>
            <a:r>
              <a:rPr lang="en-US" baseline="0"/>
              <a:t> rate over time</a:t>
            </a:r>
            <a:endParaRPr lang="ar-S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SAU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Lit>
              <c:formatCode>General</c:formatCode>
              <c:ptCount val="25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  <c:pt idx="24">
                <c:v>2024</c:v>
              </c:pt>
            </c:numLit>
          </c:cat>
          <c:val>
            <c:numRef>
              <c:f>Cleaned_Data!$C$3:$AA$3</c:f>
              <c:numCache>
                <c:formatCode>0.00"%"\ </c:formatCode>
                <c:ptCount val="25"/>
                <c:pt idx="0">
                  <c:v>4.57</c:v>
                </c:pt>
                <c:pt idx="1">
                  <c:v>4.6180000000000003</c:v>
                </c:pt>
                <c:pt idx="2">
                  <c:v>5.2649999999999997</c:v>
                </c:pt>
                <c:pt idx="3">
                  <c:v>5.5629999999999997</c:v>
                </c:pt>
                <c:pt idx="4">
                  <c:v>5.8220000000000001</c:v>
                </c:pt>
                <c:pt idx="5">
                  <c:v>6.0510000000000002</c:v>
                </c:pt>
                <c:pt idx="6">
                  <c:v>6.2539999999999996</c:v>
                </c:pt>
                <c:pt idx="7">
                  <c:v>5.734</c:v>
                </c:pt>
                <c:pt idx="8">
                  <c:v>5.085</c:v>
                </c:pt>
                <c:pt idx="9">
                  <c:v>5.3769999999999998</c:v>
                </c:pt>
                <c:pt idx="10">
                  <c:v>5.55</c:v>
                </c:pt>
                <c:pt idx="11">
                  <c:v>5.77</c:v>
                </c:pt>
                <c:pt idx="12">
                  <c:v>5.6219999999999999</c:v>
                </c:pt>
                <c:pt idx="13">
                  <c:v>5.6</c:v>
                </c:pt>
                <c:pt idx="14">
                  <c:v>5.8769999999999998</c:v>
                </c:pt>
                <c:pt idx="15">
                  <c:v>5.6</c:v>
                </c:pt>
                <c:pt idx="16">
                  <c:v>5.6</c:v>
                </c:pt>
                <c:pt idx="17">
                  <c:v>5.89</c:v>
                </c:pt>
                <c:pt idx="18">
                  <c:v>6.0289999999999999</c:v>
                </c:pt>
                <c:pt idx="19">
                  <c:v>5.6360000000000001</c:v>
                </c:pt>
                <c:pt idx="20">
                  <c:v>7.66</c:v>
                </c:pt>
                <c:pt idx="21">
                  <c:v>6.6210000000000004</c:v>
                </c:pt>
                <c:pt idx="22">
                  <c:v>5.5890000000000004</c:v>
                </c:pt>
                <c:pt idx="23">
                  <c:v>4.008</c:v>
                </c:pt>
                <c:pt idx="24">
                  <c:v>3.8959999999999999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5-4E61-B5E5-787F30F8C8BF}"/>
            </c:ext>
          </c:extLst>
        </c:ser>
        <c:ser>
          <c:idx val="1"/>
          <c:order val="1"/>
          <c:tx>
            <c:v>IND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Lit>
              <c:formatCode>General</c:formatCode>
              <c:ptCount val="25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  <c:pt idx="24">
                <c:v>2024</c:v>
              </c:pt>
            </c:numLit>
          </c:cat>
          <c:val>
            <c:numRef>
              <c:f>Cleaned_Data!$C$6:$AA$6</c:f>
              <c:numCache>
                <c:formatCode>0.00"%"\ </c:formatCode>
                <c:ptCount val="25"/>
                <c:pt idx="0">
                  <c:v>7.6239999999999997</c:v>
                </c:pt>
                <c:pt idx="1">
                  <c:v>7.6529999999999996</c:v>
                </c:pt>
                <c:pt idx="2">
                  <c:v>7.7530000000000001</c:v>
                </c:pt>
                <c:pt idx="3">
                  <c:v>7.68</c:v>
                </c:pt>
                <c:pt idx="4">
                  <c:v>7.625</c:v>
                </c:pt>
                <c:pt idx="5">
                  <c:v>7.5519999999999996</c:v>
                </c:pt>
                <c:pt idx="6">
                  <c:v>7.5519999999999996</c:v>
                </c:pt>
                <c:pt idx="7">
                  <c:v>7.5609999999999999</c:v>
                </c:pt>
                <c:pt idx="8">
                  <c:v>7.6559999999999997</c:v>
                </c:pt>
                <c:pt idx="9">
                  <c:v>7.6639999999999997</c:v>
                </c:pt>
                <c:pt idx="10">
                  <c:v>7.6520000000000001</c:v>
                </c:pt>
                <c:pt idx="11">
                  <c:v>7.6159999999999997</c:v>
                </c:pt>
                <c:pt idx="12">
                  <c:v>7.6660000000000004</c:v>
                </c:pt>
                <c:pt idx="13">
                  <c:v>7.7110000000000003</c:v>
                </c:pt>
                <c:pt idx="14">
                  <c:v>7.6740000000000004</c:v>
                </c:pt>
                <c:pt idx="15">
                  <c:v>7.6310000000000002</c:v>
                </c:pt>
                <c:pt idx="16">
                  <c:v>7.601</c:v>
                </c:pt>
                <c:pt idx="17">
                  <c:v>7.6180000000000003</c:v>
                </c:pt>
                <c:pt idx="18">
                  <c:v>7.6520000000000001</c:v>
                </c:pt>
                <c:pt idx="19">
                  <c:v>6.51</c:v>
                </c:pt>
                <c:pt idx="20">
                  <c:v>7.859</c:v>
                </c:pt>
                <c:pt idx="21">
                  <c:v>6.38</c:v>
                </c:pt>
                <c:pt idx="22">
                  <c:v>4.8220000000000001</c:v>
                </c:pt>
                <c:pt idx="23">
                  <c:v>4.1719999999999997</c:v>
                </c:pt>
                <c:pt idx="24">
                  <c:v>4.202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5-4E61-B5E5-787F30F8C8BF}"/>
            </c:ext>
          </c:extLst>
        </c:ser>
        <c:ser>
          <c:idx val="2"/>
          <c:order val="2"/>
          <c:tx>
            <c:v>SDN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Lit>
              <c:formatCode>General</c:formatCode>
              <c:ptCount val="25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  <c:pt idx="24">
                <c:v>2024</c:v>
              </c:pt>
            </c:numLit>
          </c:cat>
          <c:val>
            <c:numRef>
              <c:f>Cleaned_Data!$C$9:$AA$9</c:f>
              <c:numCache>
                <c:formatCode>0.00"%"\ </c:formatCode>
                <c:ptCount val="25"/>
                <c:pt idx="0">
                  <c:v>15.608000000000001</c:v>
                </c:pt>
                <c:pt idx="1">
                  <c:v>15.568</c:v>
                </c:pt>
                <c:pt idx="2">
                  <c:v>15.513999999999999</c:v>
                </c:pt>
                <c:pt idx="3">
                  <c:v>15.515000000000001</c:v>
                </c:pt>
                <c:pt idx="4">
                  <c:v>15.539</c:v>
                </c:pt>
                <c:pt idx="5">
                  <c:v>15.545999999999999</c:v>
                </c:pt>
                <c:pt idx="6">
                  <c:v>15.542</c:v>
                </c:pt>
                <c:pt idx="7">
                  <c:v>15.531000000000001</c:v>
                </c:pt>
                <c:pt idx="8">
                  <c:v>15.566000000000001</c:v>
                </c:pt>
                <c:pt idx="9">
                  <c:v>13</c:v>
                </c:pt>
                <c:pt idx="10">
                  <c:v>15.161</c:v>
                </c:pt>
                <c:pt idx="11">
                  <c:v>17.440000000000001</c:v>
                </c:pt>
                <c:pt idx="12">
                  <c:v>17.001999999999999</c:v>
                </c:pt>
                <c:pt idx="13">
                  <c:v>16.3</c:v>
                </c:pt>
                <c:pt idx="14">
                  <c:v>15.411</c:v>
                </c:pt>
                <c:pt idx="15">
                  <c:v>14.347</c:v>
                </c:pt>
                <c:pt idx="16">
                  <c:v>13.606</c:v>
                </c:pt>
                <c:pt idx="17">
                  <c:v>12.952999999999999</c:v>
                </c:pt>
                <c:pt idx="18">
                  <c:v>12.303000000000001</c:v>
                </c:pt>
                <c:pt idx="19">
                  <c:v>11.657999999999999</c:v>
                </c:pt>
                <c:pt idx="20">
                  <c:v>11.958</c:v>
                </c:pt>
                <c:pt idx="21">
                  <c:v>11.044</c:v>
                </c:pt>
                <c:pt idx="22">
                  <c:v>7.53</c:v>
                </c:pt>
                <c:pt idx="23">
                  <c:v>5.7729999999999997</c:v>
                </c:pt>
                <c:pt idx="24">
                  <c:v>4.8944999999999999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5-4E61-B5E5-787F30F8C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340399"/>
        <c:axId val="1311342799"/>
      </c:lineChart>
      <c:catAx>
        <c:axId val="131134039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311342799"/>
        <c:crosses val="autoZero"/>
        <c:auto val="1"/>
        <c:lblAlgn val="ctr"/>
        <c:lblOffset val="100"/>
        <c:noMultiLvlLbl val="0"/>
      </c:catAx>
      <c:valAx>
        <c:axId val="131134279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%&quot;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31134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labor force participation</a:t>
            </a:r>
            <a:endParaRPr lang="ar-S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SAU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Suadi Arabia</c:v>
              </c:pt>
              <c:pt idx="1">
                <c:v>India</c:v>
              </c:pt>
            </c:strLit>
          </c:cat>
          <c:val>
            <c:numRef>
              <c:f>Descriptives!$C$6</c:f>
              <c:numCache>
                <c:formatCode>0.00"%"\ </c:formatCode>
                <c:ptCount val="1"/>
                <c:pt idx="0">
                  <c:v>56.371240000000014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1-4C91-8E07-0A472A73E987}"/>
            </c:ext>
          </c:extLst>
        </c:ser>
        <c:ser>
          <c:idx val="1"/>
          <c:order val="1"/>
          <c:tx>
            <c:v>IND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Suadi Arabia</c:v>
              </c:pt>
              <c:pt idx="1">
                <c:v>India</c:v>
              </c:pt>
            </c:strLit>
          </c:cat>
          <c:val>
            <c:numRef>
              <c:f>Descriptives!$C$9</c:f>
              <c:numCache>
                <c:formatCode>0.00"%"\ </c:formatCode>
                <c:ptCount val="1"/>
                <c:pt idx="0">
                  <c:v>57.953839999999992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51-4C91-8E07-0A472A73E987}"/>
            </c:ext>
          </c:extLst>
        </c:ser>
        <c:ser>
          <c:idx val="2"/>
          <c:order val="2"/>
          <c:tx>
            <c:v>SDN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Suadi Arabia</c:v>
              </c:pt>
              <c:pt idx="1">
                <c:v>India</c:v>
              </c:pt>
            </c:strLit>
          </c:cat>
          <c:val>
            <c:numRef>
              <c:f>Descriptives!$C$12</c:f>
              <c:numCache>
                <c:formatCode>0.00"%"\ </c:formatCode>
                <c:ptCount val="1"/>
                <c:pt idx="0">
                  <c:v>46.027890000000006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51-4C91-8E07-0A472A73E9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27817567"/>
        <c:axId val="1527814207"/>
      </c:barChart>
      <c:dateAx>
        <c:axId val="1527817567"/>
        <c:scaling>
          <c:orientation val="maxMin"/>
        </c:scaling>
        <c:delete val="1"/>
        <c:axPos val="b"/>
        <c:numFmt formatCode="General" sourceLinked="1"/>
        <c:majorTickMark val="out"/>
        <c:minorTickMark val="none"/>
        <c:tickLblPos val="nextTo"/>
        <c:crossAx val="1527814207"/>
        <c:crosses val="autoZero"/>
        <c:auto val="0"/>
        <c:lblOffset val="100"/>
        <c:baseTimeUnit val="days"/>
      </c:dateAx>
      <c:valAx>
        <c:axId val="152781420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%&quot;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52781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Unemployment</a:t>
            </a:r>
            <a:r>
              <a:rPr lang="en-US" baseline="0"/>
              <a:t> vs GDP growth Saudi Arabia</a:t>
            </a:r>
            <a:endParaRPr lang="ar-S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SAU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234271852382088"/>
                  <c:y val="0.16683493398552454"/>
                </c:manualLayout>
              </c:layout>
              <c:numFmt formatCode="General" sourceLinked="0"/>
              <c:spPr>
                <a:noFill/>
                <a:ln w="2540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r-SA"/>
                </a:p>
              </c:txPr>
            </c:trendlineLbl>
          </c:trendline>
          <c:xVal>
            <c:numRef>
              <c:f>Cleaned_Data!$C$2:$AA$2</c:f>
              <c:numCache>
                <c:formatCode>0.00"%"\ </c:formatCode>
                <c:ptCount val="25"/>
                <c:pt idx="0">
                  <c:v>4.7181342213802395</c:v>
                </c:pt>
                <c:pt idx="1">
                  <c:v>0.34459319617543827</c:v>
                </c:pt>
                <c:pt idx="2">
                  <c:v>-0.68839013031775664</c:v>
                </c:pt>
                <c:pt idx="3">
                  <c:v>8.7687338174396388</c:v>
                </c:pt>
                <c:pt idx="4">
                  <c:v>8.631005458803088</c:v>
                </c:pt>
                <c:pt idx="5">
                  <c:v>5.9448962393483527</c:v>
                </c:pt>
                <c:pt idx="6">
                  <c:v>3.3134847362590136</c:v>
                </c:pt>
                <c:pt idx="7">
                  <c:v>2.2136539637252781</c:v>
                </c:pt>
                <c:pt idx="8">
                  <c:v>6.237987536545802</c:v>
                </c:pt>
                <c:pt idx="9">
                  <c:v>-1.0667171124020314</c:v>
                </c:pt>
                <c:pt idx="10">
                  <c:v>5.0395150823516985</c:v>
                </c:pt>
                <c:pt idx="11">
                  <c:v>11.75885680520048</c:v>
                </c:pt>
                <c:pt idx="12">
                  <c:v>5.7615073241280186</c:v>
                </c:pt>
                <c:pt idx="13">
                  <c:v>2.9456999070129655</c:v>
                </c:pt>
                <c:pt idx="14">
                  <c:v>4.0246407058452718</c:v>
                </c:pt>
                <c:pt idx="15">
                  <c:v>4.655123166526991</c:v>
                </c:pt>
                <c:pt idx="16">
                  <c:v>1.7040746576595609</c:v>
                </c:pt>
                <c:pt idx="17">
                  <c:v>1.1820799330852623</c:v>
                </c:pt>
                <c:pt idx="18">
                  <c:v>3.2269508901591024</c:v>
                </c:pt>
                <c:pt idx="19">
                  <c:v>1.6515635888557654</c:v>
                </c:pt>
                <c:pt idx="20">
                  <c:v>-3.8047647303899907</c:v>
                </c:pt>
                <c:pt idx="21">
                  <c:v>6.5195969832541891</c:v>
                </c:pt>
                <c:pt idx="22">
                  <c:v>12.000587475292889</c:v>
                </c:pt>
                <c:pt idx="23">
                  <c:v>0.54259243939316093</c:v>
                </c:pt>
                <c:pt idx="24">
                  <c:v>1.8079551514729815</c:v>
                </c:pt>
              </c:numCache>
            </c:numRef>
          </c:xVal>
          <c:yVal>
            <c:numRef>
              <c:f>Cleaned_Data!$C$3:$AA$3</c:f>
              <c:numCache>
                <c:formatCode>0.00"%"\ </c:formatCode>
                <c:ptCount val="25"/>
                <c:pt idx="0">
                  <c:v>4.57</c:v>
                </c:pt>
                <c:pt idx="1">
                  <c:v>4.6180000000000003</c:v>
                </c:pt>
                <c:pt idx="2">
                  <c:v>5.2649999999999997</c:v>
                </c:pt>
                <c:pt idx="3">
                  <c:v>5.5629999999999997</c:v>
                </c:pt>
                <c:pt idx="4">
                  <c:v>5.8220000000000001</c:v>
                </c:pt>
                <c:pt idx="5">
                  <c:v>6.0510000000000002</c:v>
                </c:pt>
                <c:pt idx="6">
                  <c:v>6.2539999999999996</c:v>
                </c:pt>
                <c:pt idx="7">
                  <c:v>5.734</c:v>
                </c:pt>
                <c:pt idx="8">
                  <c:v>5.085</c:v>
                </c:pt>
                <c:pt idx="9">
                  <c:v>5.3769999999999998</c:v>
                </c:pt>
                <c:pt idx="10">
                  <c:v>5.55</c:v>
                </c:pt>
                <c:pt idx="11">
                  <c:v>5.77</c:v>
                </c:pt>
                <c:pt idx="12">
                  <c:v>5.6219999999999999</c:v>
                </c:pt>
                <c:pt idx="13">
                  <c:v>5.6</c:v>
                </c:pt>
                <c:pt idx="14">
                  <c:v>5.8769999999999998</c:v>
                </c:pt>
                <c:pt idx="15">
                  <c:v>5.6</c:v>
                </c:pt>
                <c:pt idx="16">
                  <c:v>5.6</c:v>
                </c:pt>
                <c:pt idx="17">
                  <c:v>5.89</c:v>
                </c:pt>
                <c:pt idx="18">
                  <c:v>6.0289999999999999</c:v>
                </c:pt>
                <c:pt idx="19">
                  <c:v>5.6360000000000001</c:v>
                </c:pt>
                <c:pt idx="20">
                  <c:v>7.66</c:v>
                </c:pt>
                <c:pt idx="21">
                  <c:v>6.6210000000000004</c:v>
                </c:pt>
                <c:pt idx="22">
                  <c:v>5.5890000000000004</c:v>
                </c:pt>
                <c:pt idx="23">
                  <c:v>4.008</c:v>
                </c:pt>
                <c:pt idx="24">
                  <c:v>3.8959999999999999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EF-459A-92FC-A82C823A2CE6}"/>
            </c:ext>
          </c:extLst>
        </c:ser>
        <c:ser>
          <c:idx val="1"/>
          <c:order val="1"/>
          <c:tx>
            <c:v>IND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3"/>
                </a:solidFill>
              </a:ln>
              <a:effectLst/>
            </c:spPr>
            <c:trendlineType val="linear"/>
            <c:forward val="2"/>
            <c:dispRSqr val="1"/>
            <c:dispEq val="1"/>
            <c:trendlineLbl>
              <c:layout>
                <c:manualLayout>
                  <c:x val="0.1407430605265251"/>
                  <c:y val="-0.16813509106816193"/>
                </c:manualLayout>
              </c:layout>
              <c:numFmt formatCode="General" sourceLinked="0"/>
              <c:spPr>
                <a:noFill/>
                <a:ln w="25400">
                  <a:solidFill>
                    <a:schemeClr val="accent3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r-SA"/>
                </a:p>
              </c:txPr>
            </c:trendlineLbl>
          </c:trendline>
          <c:xVal>
            <c:numRef>
              <c:f>Cleaned_Data!$C$5:$AA$5</c:f>
              <c:numCache>
                <c:formatCode>0.00"%"\ </c:formatCode>
                <c:ptCount val="25"/>
                <c:pt idx="0">
                  <c:v>3.8409911565912864</c:v>
                </c:pt>
                <c:pt idx="1">
                  <c:v>4.8239662655577149</c:v>
                </c:pt>
                <c:pt idx="2">
                  <c:v>3.8039753211217544</c:v>
                </c:pt>
                <c:pt idx="3">
                  <c:v>7.8603814759073032</c:v>
                </c:pt>
                <c:pt idx="4">
                  <c:v>7.9229366119993188</c:v>
                </c:pt>
                <c:pt idx="5">
                  <c:v>7.9234306214831776</c:v>
                </c:pt>
                <c:pt idx="6">
                  <c:v>8.0607325716665059</c:v>
                </c:pt>
                <c:pt idx="7">
                  <c:v>7.6608150670107023</c:v>
                </c:pt>
                <c:pt idx="8">
                  <c:v>3.0866980592198132</c:v>
                </c:pt>
                <c:pt idx="9">
                  <c:v>7.8618888328607426</c:v>
                </c:pt>
                <c:pt idx="10">
                  <c:v>8.4975847022123503</c:v>
                </c:pt>
                <c:pt idx="11">
                  <c:v>5.2413161993769535</c:v>
                </c:pt>
                <c:pt idx="12">
                  <c:v>5.4563875516658698</c:v>
                </c:pt>
                <c:pt idx="13">
                  <c:v>6.3861064009482504</c:v>
                </c:pt>
                <c:pt idx="14">
                  <c:v>7.4102276050885365</c:v>
                </c:pt>
                <c:pt idx="15">
                  <c:v>7.996253785714714</c:v>
                </c:pt>
                <c:pt idx="16">
                  <c:v>8.2563055017908624</c:v>
                </c:pt>
                <c:pt idx="17">
                  <c:v>6.7953834189791138</c:v>
                </c:pt>
                <c:pt idx="18">
                  <c:v>6.4538513449776929</c:v>
                </c:pt>
                <c:pt idx="19">
                  <c:v>3.8714369407035605</c:v>
                </c:pt>
                <c:pt idx="20">
                  <c:v>-5.7777247068680104</c:v>
                </c:pt>
                <c:pt idx="21">
                  <c:v>9.6895924919287495</c:v>
                </c:pt>
                <c:pt idx="22">
                  <c:v>7.6093649776889549</c:v>
                </c:pt>
                <c:pt idx="23">
                  <c:v>9.1907549302834468</c:v>
                </c:pt>
                <c:pt idx="24">
                  <c:v>6.4842236303375671</c:v>
                </c:pt>
              </c:numCache>
              <c:extLst xmlns:c15="http://schemas.microsoft.com/office/drawing/2012/chart"/>
            </c:numRef>
          </c:xVal>
          <c:yVal>
            <c:numRef>
              <c:f>Cleaned_Data!$C$6:$AA$6</c:f>
              <c:numCache>
                <c:formatCode>0.00"%"\ </c:formatCode>
                <c:ptCount val="25"/>
                <c:pt idx="0">
                  <c:v>7.6239999999999997</c:v>
                </c:pt>
                <c:pt idx="1">
                  <c:v>7.6529999999999996</c:v>
                </c:pt>
                <c:pt idx="2">
                  <c:v>7.7530000000000001</c:v>
                </c:pt>
                <c:pt idx="3">
                  <c:v>7.68</c:v>
                </c:pt>
                <c:pt idx="4">
                  <c:v>7.625</c:v>
                </c:pt>
                <c:pt idx="5">
                  <c:v>7.5519999999999996</c:v>
                </c:pt>
                <c:pt idx="6">
                  <c:v>7.5519999999999996</c:v>
                </c:pt>
                <c:pt idx="7">
                  <c:v>7.5609999999999999</c:v>
                </c:pt>
                <c:pt idx="8">
                  <c:v>7.6559999999999997</c:v>
                </c:pt>
                <c:pt idx="9">
                  <c:v>7.6639999999999997</c:v>
                </c:pt>
                <c:pt idx="10">
                  <c:v>7.6520000000000001</c:v>
                </c:pt>
                <c:pt idx="11">
                  <c:v>7.6159999999999997</c:v>
                </c:pt>
                <c:pt idx="12">
                  <c:v>7.6660000000000004</c:v>
                </c:pt>
                <c:pt idx="13">
                  <c:v>7.7110000000000003</c:v>
                </c:pt>
                <c:pt idx="14">
                  <c:v>7.6740000000000004</c:v>
                </c:pt>
                <c:pt idx="15">
                  <c:v>7.6310000000000002</c:v>
                </c:pt>
                <c:pt idx="16">
                  <c:v>7.601</c:v>
                </c:pt>
                <c:pt idx="17">
                  <c:v>7.6180000000000003</c:v>
                </c:pt>
                <c:pt idx="18">
                  <c:v>7.6520000000000001</c:v>
                </c:pt>
                <c:pt idx="19">
                  <c:v>6.51</c:v>
                </c:pt>
                <c:pt idx="20">
                  <c:v>7.859</c:v>
                </c:pt>
                <c:pt idx="21">
                  <c:v>6.38</c:v>
                </c:pt>
                <c:pt idx="22">
                  <c:v>4.8220000000000001</c:v>
                </c:pt>
                <c:pt idx="23">
                  <c:v>4.1719999999999997</c:v>
                </c:pt>
                <c:pt idx="24">
                  <c:v>4.202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2EF-459A-92FC-A82C823A2CE6}"/>
            </c:ext>
          </c:extLst>
        </c:ser>
        <c:ser>
          <c:idx val="2"/>
          <c:order val="2"/>
          <c:tx>
            <c:v>SDN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53270520162252444"/>
                  <c:y val="-0.1399921955778255"/>
                </c:manualLayout>
              </c:layout>
              <c:numFmt formatCode="General" sourceLinked="0"/>
              <c:spPr>
                <a:noFill/>
                <a:ln w="25400">
                  <a:solidFill>
                    <a:schemeClr val="accent5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r-SA"/>
                </a:p>
              </c:txPr>
            </c:trendlineLbl>
          </c:trendline>
          <c:xVal>
            <c:numRef>
              <c:f>Cleaned_Data!$C$8:$AA$8</c:f>
              <c:numCache>
                <c:formatCode>0.00"%"\ </c:formatCode>
                <c:ptCount val="25"/>
                <c:pt idx="0">
                  <c:v>6.34586743997545</c:v>
                </c:pt>
                <c:pt idx="1">
                  <c:v>6.5003605339688306</c:v>
                </c:pt>
                <c:pt idx="2">
                  <c:v>6.0064715363131995</c:v>
                </c:pt>
                <c:pt idx="3">
                  <c:v>6.2888081614651554</c:v>
                </c:pt>
                <c:pt idx="4">
                  <c:v>5.1408885176267489</c:v>
                </c:pt>
                <c:pt idx="5">
                  <c:v>5.6435155134363129</c:v>
                </c:pt>
                <c:pt idx="6">
                  <c:v>6.5314117467791988</c:v>
                </c:pt>
                <c:pt idx="7">
                  <c:v>5.735274236644841</c:v>
                </c:pt>
                <c:pt idx="8">
                  <c:v>3.8467447312105776</c:v>
                </c:pt>
                <c:pt idx="9">
                  <c:v>-2.7677043659913778</c:v>
                </c:pt>
                <c:pt idx="10">
                  <c:v>3.8582419523010714</c:v>
                </c:pt>
                <c:pt idx="11">
                  <c:v>-3.2135320925337112</c:v>
                </c:pt>
                <c:pt idx="12">
                  <c:v>-17.004688404894466</c:v>
                </c:pt>
                <c:pt idx="13">
                  <c:v>1.9551446330242186</c:v>
                </c:pt>
                <c:pt idx="14">
                  <c:v>4.6613795422987323</c:v>
                </c:pt>
                <c:pt idx="15">
                  <c:v>1.9101768905275094</c:v>
                </c:pt>
                <c:pt idx="16">
                  <c:v>3.4676421840928811</c:v>
                </c:pt>
                <c:pt idx="17">
                  <c:v>0.70925628476643965</c:v>
                </c:pt>
                <c:pt idx="18">
                  <c:v>-2.6809305497998963</c:v>
                </c:pt>
                <c:pt idx="19">
                  <c:v>-2.178251045300911</c:v>
                </c:pt>
                <c:pt idx="20">
                  <c:v>-3.6298008241075195</c:v>
                </c:pt>
                <c:pt idx="21">
                  <c:v>-1.8685204827206974</c:v>
                </c:pt>
                <c:pt idx="22">
                  <c:v>-3.78</c:v>
                </c:pt>
                <c:pt idx="23">
                  <c:v>-4.25</c:v>
                </c:pt>
                <c:pt idx="24">
                  <c:v>-4.71</c:v>
                </c:pt>
              </c:numCache>
              <c:extLst xmlns:c15="http://schemas.microsoft.com/office/drawing/2012/chart"/>
            </c:numRef>
          </c:xVal>
          <c:yVal>
            <c:numRef>
              <c:f>Cleaned_Data!$C$9:$AA$9</c:f>
              <c:numCache>
                <c:formatCode>0.00"%"\ </c:formatCode>
                <c:ptCount val="25"/>
                <c:pt idx="0">
                  <c:v>15.608000000000001</c:v>
                </c:pt>
                <c:pt idx="1">
                  <c:v>15.568</c:v>
                </c:pt>
                <c:pt idx="2">
                  <c:v>15.513999999999999</c:v>
                </c:pt>
                <c:pt idx="3">
                  <c:v>15.515000000000001</c:v>
                </c:pt>
                <c:pt idx="4">
                  <c:v>15.539</c:v>
                </c:pt>
                <c:pt idx="5">
                  <c:v>15.545999999999999</c:v>
                </c:pt>
                <c:pt idx="6">
                  <c:v>15.542</c:v>
                </c:pt>
                <c:pt idx="7">
                  <c:v>15.531000000000001</c:v>
                </c:pt>
                <c:pt idx="8">
                  <c:v>15.566000000000001</c:v>
                </c:pt>
                <c:pt idx="9">
                  <c:v>13</c:v>
                </c:pt>
                <c:pt idx="10">
                  <c:v>15.161</c:v>
                </c:pt>
                <c:pt idx="11">
                  <c:v>17.440000000000001</c:v>
                </c:pt>
                <c:pt idx="12">
                  <c:v>17.001999999999999</c:v>
                </c:pt>
                <c:pt idx="13">
                  <c:v>16.3</c:v>
                </c:pt>
                <c:pt idx="14">
                  <c:v>15.411</c:v>
                </c:pt>
                <c:pt idx="15">
                  <c:v>14.347</c:v>
                </c:pt>
                <c:pt idx="16">
                  <c:v>13.606</c:v>
                </c:pt>
                <c:pt idx="17">
                  <c:v>12.952999999999999</c:v>
                </c:pt>
                <c:pt idx="18">
                  <c:v>12.303000000000001</c:v>
                </c:pt>
                <c:pt idx="19">
                  <c:v>11.657999999999999</c:v>
                </c:pt>
                <c:pt idx="20">
                  <c:v>11.958</c:v>
                </c:pt>
                <c:pt idx="21">
                  <c:v>11.044</c:v>
                </c:pt>
                <c:pt idx="22">
                  <c:v>7.53</c:v>
                </c:pt>
                <c:pt idx="23">
                  <c:v>5.7729999999999997</c:v>
                </c:pt>
                <c:pt idx="24">
                  <c:v>4.8944999999999999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02EF-459A-92FC-A82C823A2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384511"/>
        <c:axId val="1523385951"/>
        <c:extLst/>
      </c:scatterChart>
      <c:valAx>
        <c:axId val="1523384511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</a:t>
                </a:r>
                <a:r>
                  <a:rPr lang="en-US" baseline="0"/>
                  <a:t> growth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0.00&quot;%&quot;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523385951"/>
        <c:crosses val="autoZero"/>
        <c:crossBetween val="midCat"/>
      </c:valAx>
      <c:valAx>
        <c:axId val="15233859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Unemployment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0.00&quot;%&quot;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52338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Unemployment</a:t>
            </a:r>
            <a:r>
              <a:rPr lang="en-US" baseline="0"/>
              <a:t> rate over time</a:t>
            </a:r>
            <a:endParaRPr lang="ar-S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SAU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Lit>
              <c:formatCode>General</c:formatCode>
              <c:ptCount val="25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  <c:pt idx="24">
                <c:v>2024</c:v>
              </c:pt>
            </c:numLit>
          </c:cat>
          <c:val>
            <c:numRef>
              <c:f>Cleaned_Data!$C$3:$AA$3</c:f>
              <c:numCache>
                <c:formatCode>0.00"%"\ </c:formatCode>
                <c:ptCount val="25"/>
                <c:pt idx="0">
                  <c:v>4.57</c:v>
                </c:pt>
                <c:pt idx="1">
                  <c:v>4.6180000000000003</c:v>
                </c:pt>
                <c:pt idx="2">
                  <c:v>5.2649999999999997</c:v>
                </c:pt>
                <c:pt idx="3">
                  <c:v>5.5629999999999997</c:v>
                </c:pt>
                <c:pt idx="4">
                  <c:v>5.8220000000000001</c:v>
                </c:pt>
                <c:pt idx="5">
                  <c:v>6.0510000000000002</c:v>
                </c:pt>
                <c:pt idx="6">
                  <c:v>6.2539999999999996</c:v>
                </c:pt>
                <c:pt idx="7">
                  <c:v>5.734</c:v>
                </c:pt>
                <c:pt idx="8">
                  <c:v>5.085</c:v>
                </c:pt>
                <c:pt idx="9">
                  <c:v>5.3769999999999998</c:v>
                </c:pt>
                <c:pt idx="10">
                  <c:v>5.55</c:v>
                </c:pt>
                <c:pt idx="11">
                  <c:v>5.77</c:v>
                </c:pt>
                <c:pt idx="12">
                  <c:v>5.6219999999999999</c:v>
                </c:pt>
                <c:pt idx="13">
                  <c:v>5.6</c:v>
                </c:pt>
                <c:pt idx="14">
                  <c:v>5.8769999999999998</c:v>
                </c:pt>
                <c:pt idx="15">
                  <c:v>5.6</c:v>
                </c:pt>
                <c:pt idx="16">
                  <c:v>5.6</c:v>
                </c:pt>
                <c:pt idx="17">
                  <c:v>5.89</c:v>
                </c:pt>
                <c:pt idx="18">
                  <c:v>6.0289999999999999</c:v>
                </c:pt>
                <c:pt idx="19">
                  <c:v>5.6360000000000001</c:v>
                </c:pt>
                <c:pt idx="20">
                  <c:v>7.66</c:v>
                </c:pt>
                <c:pt idx="21">
                  <c:v>6.6210000000000004</c:v>
                </c:pt>
                <c:pt idx="22">
                  <c:v>5.5890000000000004</c:v>
                </c:pt>
                <c:pt idx="23">
                  <c:v>4.008</c:v>
                </c:pt>
                <c:pt idx="24">
                  <c:v>3.8959999999999999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B3-457F-8CF6-370F19E4EFBB}"/>
            </c:ext>
          </c:extLst>
        </c:ser>
        <c:ser>
          <c:idx val="1"/>
          <c:order val="1"/>
          <c:tx>
            <c:v>IND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Lit>
              <c:formatCode>General</c:formatCode>
              <c:ptCount val="25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  <c:pt idx="24">
                <c:v>2024</c:v>
              </c:pt>
            </c:numLit>
          </c:cat>
          <c:val>
            <c:numRef>
              <c:f>Cleaned_Data!$C$6:$AA$6</c:f>
              <c:numCache>
                <c:formatCode>0.00"%"\ </c:formatCode>
                <c:ptCount val="25"/>
                <c:pt idx="0">
                  <c:v>7.6239999999999997</c:v>
                </c:pt>
                <c:pt idx="1">
                  <c:v>7.6529999999999996</c:v>
                </c:pt>
                <c:pt idx="2">
                  <c:v>7.7530000000000001</c:v>
                </c:pt>
                <c:pt idx="3">
                  <c:v>7.68</c:v>
                </c:pt>
                <c:pt idx="4">
                  <c:v>7.625</c:v>
                </c:pt>
                <c:pt idx="5">
                  <c:v>7.5519999999999996</c:v>
                </c:pt>
                <c:pt idx="6">
                  <c:v>7.5519999999999996</c:v>
                </c:pt>
                <c:pt idx="7">
                  <c:v>7.5609999999999999</c:v>
                </c:pt>
                <c:pt idx="8">
                  <c:v>7.6559999999999997</c:v>
                </c:pt>
                <c:pt idx="9">
                  <c:v>7.6639999999999997</c:v>
                </c:pt>
                <c:pt idx="10">
                  <c:v>7.6520000000000001</c:v>
                </c:pt>
                <c:pt idx="11">
                  <c:v>7.6159999999999997</c:v>
                </c:pt>
                <c:pt idx="12">
                  <c:v>7.6660000000000004</c:v>
                </c:pt>
                <c:pt idx="13">
                  <c:v>7.7110000000000003</c:v>
                </c:pt>
                <c:pt idx="14">
                  <c:v>7.6740000000000004</c:v>
                </c:pt>
                <c:pt idx="15">
                  <c:v>7.6310000000000002</c:v>
                </c:pt>
                <c:pt idx="16">
                  <c:v>7.601</c:v>
                </c:pt>
                <c:pt idx="17">
                  <c:v>7.6180000000000003</c:v>
                </c:pt>
                <c:pt idx="18">
                  <c:v>7.6520000000000001</c:v>
                </c:pt>
                <c:pt idx="19">
                  <c:v>6.51</c:v>
                </c:pt>
                <c:pt idx="20">
                  <c:v>7.859</c:v>
                </c:pt>
                <c:pt idx="21">
                  <c:v>6.38</c:v>
                </c:pt>
                <c:pt idx="22">
                  <c:v>4.8220000000000001</c:v>
                </c:pt>
                <c:pt idx="23">
                  <c:v>4.1719999999999997</c:v>
                </c:pt>
                <c:pt idx="24">
                  <c:v>4.202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B3-457F-8CF6-370F19E4EFBB}"/>
            </c:ext>
          </c:extLst>
        </c:ser>
        <c:ser>
          <c:idx val="2"/>
          <c:order val="2"/>
          <c:tx>
            <c:v>SDN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Lit>
              <c:formatCode>General</c:formatCode>
              <c:ptCount val="25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  <c:pt idx="24">
                <c:v>2024</c:v>
              </c:pt>
            </c:numLit>
          </c:cat>
          <c:val>
            <c:numRef>
              <c:f>Cleaned_Data!$C$9:$AA$9</c:f>
              <c:numCache>
                <c:formatCode>0.00"%"\ </c:formatCode>
                <c:ptCount val="25"/>
                <c:pt idx="0">
                  <c:v>15.608000000000001</c:v>
                </c:pt>
                <c:pt idx="1">
                  <c:v>15.568</c:v>
                </c:pt>
                <c:pt idx="2">
                  <c:v>15.513999999999999</c:v>
                </c:pt>
                <c:pt idx="3">
                  <c:v>15.515000000000001</c:v>
                </c:pt>
                <c:pt idx="4">
                  <c:v>15.539</c:v>
                </c:pt>
                <c:pt idx="5">
                  <c:v>15.545999999999999</c:v>
                </c:pt>
                <c:pt idx="6">
                  <c:v>15.542</c:v>
                </c:pt>
                <c:pt idx="7">
                  <c:v>15.531000000000001</c:v>
                </c:pt>
                <c:pt idx="8">
                  <c:v>15.566000000000001</c:v>
                </c:pt>
                <c:pt idx="9">
                  <c:v>13</c:v>
                </c:pt>
                <c:pt idx="10">
                  <c:v>15.161</c:v>
                </c:pt>
                <c:pt idx="11">
                  <c:v>17.440000000000001</c:v>
                </c:pt>
                <c:pt idx="12">
                  <c:v>17.001999999999999</c:v>
                </c:pt>
                <c:pt idx="13">
                  <c:v>16.3</c:v>
                </c:pt>
                <c:pt idx="14">
                  <c:v>15.411</c:v>
                </c:pt>
                <c:pt idx="15">
                  <c:v>14.347</c:v>
                </c:pt>
                <c:pt idx="16">
                  <c:v>13.606</c:v>
                </c:pt>
                <c:pt idx="17">
                  <c:v>12.952999999999999</c:v>
                </c:pt>
                <c:pt idx="18">
                  <c:v>12.303000000000001</c:v>
                </c:pt>
                <c:pt idx="19">
                  <c:v>11.657999999999999</c:v>
                </c:pt>
                <c:pt idx="20">
                  <c:v>11.958</c:v>
                </c:pt>
                <c:pt idx="21">
                  <c:v>11.044</c:v>
                </c:pt>
                <c:pt idx="22">
                  <c:v>7.53</c:v>
                </c:pt>
                <c:pt idx="23">
                  <c:v>5.7729999999999997</c:v>
                </c:pt>
                <c:pt idx="24">
                  <c:v>4.8944999999999999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B3-457F-8CF6-370F19E4E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340399"/>
        <c:axId val="1311342799"/>
      </c:lineChart>
      <c:catAx>
        <c:axId val="131134039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311342799"/>
        <c:crosses val="autoZero"/>
        <c:auto val="1"/>
        <c:lblAlgn val="ctr"/>
        <c:lblOffset val="100"/>
        <c:noMultiLvlLbl val="0"/>
      </c:catAx>
      <c:valAx>
        <c:axId val="131134279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%&quot;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31134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labor force participation</a:t>
            </a:r>
            <a:endParaRPr lang="ar-S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SAU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Suadi Arabia</c:v>
              </c:pt>
              <c:pt idx="1">
                <c:v>India</c:v>
              </c:pt>
            </c:strLit>
          </c:cat>
          <c:val>
            <c:numRef>
              <c:f>Descriptives!$C$6</c:f>
              <c:numCache>
                <c:formatCode>0.00"%"\ </c:formatCode>
                <c:ptCount val="1"/>
                <c:pt idx="0">
                  <c:v>56.371240000000014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7F-44E7-A279-FA67F51B3A0F}"/>
            </c:ext>
          </c:extLst>
        </c:ser>
        <c:ser>
          <c:idx val="1"/>
          <c:order val="1"/>
          <c:tx>
            <c:v>IND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Suadi Arabia</c:v>
              </c:pt>
              <c:pt idx="1">
                <c:v>India</c:v>
              </c:pt>
            </c:strLit>
          </c:cat>
          <c:val>
            <c:numRef>
              <c:f>Descriptives!$C$9</c:f>
              <c:numCache>
                <c:formatCode>0.00"%"\ </c:formatCode>
                <c:ptCount val="1"/>
                <c:pt idx="0">
                  <c:v>57.953839999999992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7F-44E7-A279-FA67F51B3A0F}"/>
            </c:ext>
          </c:extLst>
        </c:ser>
        <c:ser>
          <c:idx val="2"/>
          <c:order val="2"/>
          <c:tx>
            <c:v>SDN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Suadi Arabia</c:v>
              </c:pt>
              <c:pt idx="1">
                <c:v>India</c:v>
              </c:pt>
            </c:strLit>
          </c:cat>
          <c:val>
            <c:numRef>
              <c:f>Descriptives!$C$12</c:f>
              <c:numCache>
                <c:formatCode>0.00"%"\ </c:formatCode>
                <c:ptCount val="1"/>
                <c:pt idx="0">
                  <c:v>46.027890000000006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7F-44E7-A279-FA67F51B3A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27817567"/>
        <c:axId val="1527814207"/>
      </c:barChart>
      <c:dateAx>
        <c:axId val="1527817567"/>
        <c:scaling>
          <c:orientation val="maxMin"/>
        </c:scaling>
        <c:delete val="1"/>
        <c:axPos val="b"/>
        <c:numFmt formatCode="General" sourceLinked="1"/>
        <c:majorTickMark val="out"/>
        <c:minorTickMark val="none"/>
        <c:tickLblPos val="nextTo"/>
        <c:crossAx val="1527814207"/>
        <c:crosses val="autoZero"/>
        <c:auto val="0"/>
        <c:lblOffset val="100"/>
        <c:baseTimeUnit val="days"/>
      </c:dateAx>
      <c:valAx>
        <c:axId val="152781420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%&quot;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52781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Unemployment</a:t>
            </a:r>
            <a:r>
              <a:rPr lang="en-US" baseline="0"/>
              <a:t> vs GDP growth Saudi Arabia</a:t>
            </a:r>
            <a:endParaRPr lang="ar-S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SAU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0777945481987958E-2"/>
                  <c:y val="-2.6180818306802557E-2"/>
                </c:manualLayout>
              </c:layout>
              <c:numFmt formatCode="General" sourceLinked="0"/>
              <c:spPr>
                <a:noFill/>
                <a:ln w="2540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r-SA"/>
                </a:p>
              </c:txPr>
            </c:trendlineLbl>
          </c:trendline>
          <c:xVal>
            <c:numRef>
              <c:f>Cleaned_Data!$C$2:$AA$2</c:f>
              <c:numCache>
                <c:formatCode>0.00"%"\ </c:formatCode>
                <c:ptCount val="25"/>
                <c:pt idx="0">
                  <c:v>4.7181342213802395</c:v>
                </c:pt>
                <c:pt idx="1">
                  <c:v>0.34459319617543827</c:v>
                </c:pt>
                <c:pt idx="2">
                  <c:v>-0.68839013031775664</c:v>
                </c:pt>
                <c:pt idx="3">
                  <c:v>8.7687338174396388</c:v>
                </c:pt>
                <c:pt idx="4">
                  <c:v>8.631005458803088</c:v>
                </c:pt>
                <c:pt idx="5">
                  <c:v>5.9448962393483527</c:v>
                </c:pt>
                <c:pt idx="6">
                  <c:v>3.3134847362590136</c:v>
                </c:pt>
                <c:pt idx="7">
                  <c:v>2.2136539637252781</c:v>
                </c:pt>
                <c:pt idx="8">
                  <c:v>6.237987536545802</c:v>
                </c:pt>
                <c:pt idx="9">
                  <c:v>-1.0667171124020314</c:v>
                </c:pt>
                <c:pt idx="10">
                  <c:v>5.0395150823516985</c:v>
                </c:pt>
                <c:pt idx="11">
                  <c:v>11.75885680520048</c:v>
                </c:pt>
                <c:pt idx="12">
                  <c:v>5.7615073241280186</c:v>
                </c:pt>
                <c:pt idx="13">
                  <c:v>2.9456999070129655</c:v>
                </c:pt>
                <c:pt idx="14">
                  <c:v>4.0246407058452718</c:v>
                </c:pt>
                <c:pt idx="15">
                  <c:v>4.655123166526991</c:v>
                </c:pt>
                <c:pt idx="16">
                  <c:v>1.7040746576595609</c:v>
                </c:pt>
                <c:pt idx="17">
                  <c:v>1.1820799330852623</c:v>
                </c:pt>
                <c:pt idx="18">
                  <c:v>3.2269508901591024</c:v>
                </c:pt>
                <c:pt idx="19">
                  <c:v>1.6515635888557654</c:v>
                </c:pt>
                <c:pt idx="20">
                  <c:v>-3.8047647303899907</c:v>
                </c:pt>
                <c:pt idx="21">
                  <c:v>6.5195969832541891</c:v>
                </c:pt>
                <c:pt idx="22">
                  <c:v>12.000587475292889</c:v>
                </c:pt>
                <c:pt idx="23">
                  <c:v>0.54259243939316093</c:v>
                </c:pt>
                <c:pt idx="24">
                  <c:v>1.8079551514729815</c:v>
                </c:pt>
              </c:numCache>
            </c:numRef>
          </c:xVal>
          <c:yVal>
            <c:numRef>
              <c:f>Cleaned_Data!$C$3:$AA$3</c:f>
              <c:numCache>
                <c:formatCode>0.00"%"\ </c:formatCode>
                <c:ptCount val="25"/>
                <c:pt idx="0">
                  <c:v>4.57</c:v>
                </c:pt>
                <c:pt idx="1">
                  <c:v>4.6180000000000003</c:v>
                </c:pt>
                <c:pt idx="2">
                  <c:v>5.2649999999999997</c:v>
                </c:pt>
                <c:pt idx="3">
                  <c:v>5.5629999999999997</c:v>
                </c:pt>
                <c:pt idx="4">
                  <c:v>5.8220000000000001</c:v>
                </c:pt>
                <c:pt idx="5">
                  <c:v>6.0510000000000002</c:v>
                </c:pt>
                <c:pt idx="6">
                  <c:v>6.2539999999999996</c:v>
                </c:pt>
                <c:pt idx="7">
                  <c:v>5.734</c:v>
                </c:pt>
                <c:pt idx="8">
                  <c:v>5.085</c:v>
                </c:pt>
                <c:pt idx="9">
                  <c:v>5.3769999999999998</c:v>
                </c:pt>
                <c:pt idx="10">
                  <c:v>5.55</c:v>
                </c:pt>
                <c:pt idx="11">
                  <c:v>5.77</c:v>
                </c:pt>
                <c:pt idx="12">
                  <c:v>5.6219999999999999</c:v>
                </c:pt>
                <c:pt idx="13">
                  <c:v>5.6</c:v>
                </c:pt>
                <c:pt idx="14">
                  <c:v>5.8769999999999998</c:v>
                </c:pt>
                <c:pt idx="15">
                  <c:v>5.6</c:v>
                </c:pt>
                <c:pt idx="16">
                  <c:v>5.6</c:v>
                </c:pt>
                <c:pt idx="17">
                  <c:v>5.89</c:v>
                </c:pt>
                <c:pt idx="18">
                  <c:v>6.0289999999999999</c:v>
                </c:pt>
                <c:pt idx="19">
                  <c:v>5.6360000000000001</c:v>
                </c:pt>
                <c:pt idx="20">
                  <c:v>7.66</c:v>
                </c:pt>
                <c:pt idx="21">
                  <c:v>6.6210000000000004</c:v>
                </c:pt>
                <c:pt idx="22">
                  <c:v>5.5890000000000004</c:v>
                </c:pt>
                <c:pt idx="23">
                  <c:v>4.008</c:v>
                </c:pt>
                <c:pt idx="24">
                  <c:v>3.8959999999999999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26-4A15-AC5D-AD85B0C5A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384511"/>
        <c:axId val="152338595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IND</c:v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3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</a:ln>
                    <a:effectLst/>
                  </c:spPr>
                  <c:trendlineType val="linear"/>
                  <c:forward val="2"/>
                  <c:dispRSqr val="1"/>
                  <c:dispEq val="1"/>
                  <c:trendlineLbl>
                    <c:layout>
                      <c:manualLayout>
                        <c:x val="0.12433681934715236"/>
                        <c:y val="-0.1692644669416323"/>
                      </c:manualLayout>
                    </c:layout>
                    <c:numFmt formatCode="General" sourceLinked="0"/>
                    <c:spPr>
                      <a:noFill/>
                      <a:ln w="25400">
                        <a:solidFill>
                          <a:schemeClr val="accent3"/>
                        </a:solidFill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ar-SA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Cleaned_Data!$C$5:$AA$5</c15:sqref>
                        </c15:formulaRef>
                      </c:ext>
                    </c:extLst>
                    <c:numCache>
                      <c:formatCode>0.00"%"\ </c:formatCode>
                      <c:ptCount val="25"/>
                      <c:pt idx="0">
                        <c:v>3.8409911565912864</c:v>
                      </c:pt>
                      <c:pt idx="1">
                        <c:v>4.8239662655577149</c:v>
                      </c:pt>
                      <c:pt idx="2">
                        <c:v>3.8039753211217544</c:v>
                      </c:pt>
                      <c:pt idx="3">
                        <c:v>7.8603814759073032</c:v>
                      </c:pt>
                      <c:pt idx="4">
                        <c:v>7.9229366119993188</c:v>
                      </c:pt>
                      <c:pt idx="5">
                        <c:v>7.9234306214831776</c:v>
                      </c:pt>
                      <c:pt idx="6">
                        <c:v>8.0607325716665059</c:v>
                      </c:pt>
                      <c:pt idx="7">
                        <c:v>7.6608150670107023</c:v>
                      </c:pt>
                      <c:pt idx="8">
                        <c:v>3.0866980592198132</c:v>
                      </c:pt>
                      <c:pt idx="9">
                        <c:v>7.8618888328607426</c:v>
                      </c:pt>
                      <c:pt idx="10">
                        <c:v>8.4975847022123503</c:v>
                      </c:pt>
                      <c:pt idx="11">
                        <c:v>5.2413161993769535</c:v>
                      </c:pt>
                      <c:pt idx="12">
                        <c:v>5.4563875516658698</c:v>
                      </c:pt>
                      <c:pt idx="13">
                        <c:v>6.3861064009482504</c:v>
                      </c:pt>
                      <c:pt idx="14">
                        <c:v>7.4102276050885365</c:v>
                      </c:pt>
                      <c:pt idx="15">
                        <c:v>7.996253785714714</c:v>
                      </c:pt>
                      <c:pt idx="16">
                        <c:v>8.2563055017908624</c:v>
                      </c:pt>
                      <c:pt idx="17">
                        <c:v>6.7953834189791138</c:v>
                      </c:pt>
                      <c:pt idx="18">
                        <c:v>6.4538513449776929</c:v>
                      </c:pt>
                      <c:pt idx="19">
                        <c:v>3.8714369407035605</c:v>
                      </c:pt>
                      <c:pt idx="20">
                        <c:v>-5.7777247068680104</c:v>
                      </c:pt>
                      <c:pt idx="21">
                        <c:v>9.6895924919287495</c:v>
                      </c:pt>
                      <c:pt idx="22">
                        <c:v>7.6093649776889549</c:v>
                      </c:pt>
                      <c:pt idx="23">
                        <c:v>9.1907549302834468</c:v>
                      </c:pt>
                      <c:pt idx="24">
                        <c:v>6.4842236303375671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Cleaned_Data!$C$6:$AA$6</c15:sqref>
                        </c15:formulaRef>
                      </c:ext>
                    </c:extLst>
                    <c:numCache>
                      <c:formatCode>0.00"%"\ </c:formatCode>
                      <c:ptCount val="25"/>
                      <c:pt idx="0">
                        <c:v>7.6239999999999997</c:v>
                      </c:pt>
                      <c:pt idx="1">
                        <c:v>7.6529999999999996</c:v>
                      </c:pt>
                      <c:pt idx="2">
                        <c:v>7.7530000000000001</c:v>
                      </c:pt>
                      <c:pt idx="3">
                        <c:v>7.68</c:v>
                      </c:pt>
                      <c:pt idx="4">
                        <c:v>7.625</c:v>
                      </c:pt>
                      <c:pt idx="5">
                        <c:v>7.5519999999999996</c:v>
                      </c:pt>
                      <c:pt idx="6">
                        <c:v>7.5519999999999996</c:v>
                      </c:pt>
                      <c:pt idx="7">
                        <c:v>7.5609999999999999</c:v>
                      </c:pt>
                      <c:pt idx="8">
                        <c:v>7.6559999999999997</c:v>
                      </c:pt>
                      <c:pt idx="9">
                        <c:v>7.6639999999999997</c:v>
                      </c:pt>
                      <c:pt idx="10">
                        <c:v>7.6520000000000001</c:v>
                      </c:pt>
                      <c:pt idx="11">
                        <c:v>7.6159999999999997</c:v>
                      </c:pt>
                      <c:pt idx="12">
                        <c:v>7.6660000000000004</c:v>
                      </c:pt>
                      <c:pt idx="13">
                        <c:v>7.7110000000000003</c:v>
                      </c:pt>
                      <c:pt idx="14">
                        <c:v>7.6740000000000004</c:v>
                      </c:pt>
                      <c:pt idx="15">
                        <c:v>7.6310000000000002</c:v>
                      </c:pt>
                      <c:pt idx="16">
                        <c:v>7.601</c:v>
                      </c:pt>
                      <c:pt idx="17">
                        <c:v>7.6180000000000003</c:v>
                      </c:pt>
                      <c:pt idx="18">
                        <c:v>7.6520000000000001</c:v>
                      </c:pt>
                      <c:pt idx="19">
                        <c:v>6.51</c:v>
                      </c:pt>
                      <c:pt idx="20">
                        <c:v>7.859</c:v>
                      </c:pt>
                      <c:pt idx="21">
                        <c:v>6.38</c:v>
                      </c:pt>
                      <c:pt idx="22">
                        <c:v>4.8220000000000001</c:v>
                      </c:pt>
                      <c:pt idx="23">
                        <c:v>4.1719999999999997</c:v>
                      </c:pt>
                      <c:pt idx="24">
                        <c:v>4.202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DA26-4A15-AC5D-AD85B0C5A13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SDN</c:v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5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</a:ln>
                    <a:effectLst/>
                  </c:spPr>
                  <c:trendlineType val="linear"/>
                  <c:dispRSqr val="1"/>
                  <c:dispEq val="1"/>
                  <c:trendlineLbl>
                    <c:layout>
                      <c:manualLayout>
                        <c:x val="0.34685159499863755"/>
                        <c:y val="-0.15016685414323211"/>
                      </c:manualLayout>
                    </c:layout>
                    <c:numFmt formatCode="General" sourceLinked="0"/>
                    <c:spPr>
                      <a:noFill/>
                      <a:ln w="25400">
                        <a:solidFill>
                          <a:schemeClr val="accent5"/>
                        </a:solidFill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ar-SA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Cleaned_Data!$C$8:$AA$8</c15:sqref>
                        </c15:formulaRef>
                      </c:ext>
                    </c:extLst>
                    <c:numCache>
                      <c:formatCode>0.00"%"\ </c:formatCode>
                      <c:ptCount val="25"/>
                      <c:pt idx="0">
                        <c:v>6.34586743997545</c:v>
                      </c:pt>
                      <c:pt idx="1">
                        <c:v>6.5003605339688306</c:v>
                      </c:pt>
                      <c:pt idx="2">
                        <c:v>6.0064715363131995</c:v>
                      </c:pt>
                      <c:pt idx="3">
                        <c:v>6.2888081614651554</c:v>
                      </c:pt>
                      <c:pt idx="4">
                        <c:v>5.1408885176267489</c:v>
                      </c:pt>
                      <c:pt idx="5">
                        <c:v>5.6435155134363129</c:v>
                      </c:pt>
                      <c:pt idx="6">
                        <c:v>6.5314117467791988</c:v>
                      </c:pt>
                      <c:pt idx="7">
                        <c:v>5.735274236644841</c:v>
                      </c:pt>
                      <c:pt idx="8">
                        <c:v>3.8467447312105776</c:v>
                      </c:pt>
                      <c:pt idx="9">
                        <c:v>-2.7677043659913778</c:v>
                      </c:pt>
                      <c:pt idx="10">
                        <c:v>3.8582419523010714</c:v>
                      </c:pt>
                      <c:pt idx="11">
                        <c:v>-3.2135320925337112</c:v>
                      </c:pt>
                      <c:pt idx="12">
                        <c:v>-17.004688404894466</c:v>
                      </c:pt>
                      <c:pt idx="13">
                        <c:v>1.9551446330242186</c:v>
                      </c:pt>
                      <c:pt idx="14">
                        <c:v>4.6613795422987323</c:v>
                      </c:pt>
                      <c:pt idx="15">
                        <c:v>1.9101768905275094</c:v>
                      </c:pt>
                      <c:pt idx="16">
                        <c:v>3.4676421840928811</c:v>
                      </c:pt>
                      <c:pt idx="17">
                        <c:v>0.70925628476643965</c:v>
                      </c:pt>
                      <c:pt idx="18">
                        <c:v>-2.6809305497998963</c:v>
                      </c:pt>
                      <c:pt idx="19">
                        <c:v>-2.178251045300911</c:v>
                      </c:pt>
                      <c:pt idx="20">
                        <c:v>-3.6298008241075195</c:v>
                      </c:pt>
                      <c:pt idx="21">
                        <c:v>-1.8685204827206974</c:v>
                      </c:pt>
                      <c:pt idx="22">
                        <c:v>-3.78</c:v>
                      </c:pt>
                      <c:pt idx="23">
                        <c:v>-4.25</c:v>
                      </c:pt>
                      <c:pt idx="24">
                        <c:v>-4.71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Cleaned_Data!$C$9:$AA$9</c15:sqref>
                        </c15:formulaRef>
                      </c:ext>
                    </c:extLst>
                    <c:numCache>
                      <c:formatCode>0.00"%"\ </c:formatCode>
                      <c:ptCount val="25"/>
                      <c:pt idx="0">
                        <c:v>15.608000000000001</c:v>
                      </c:pt>
                      <c:pt idx="1">
                        <c:v>15.568</c:v>
                      </c:pt>
                      <c:pt idx="2">
                        <c:v>15.513999999999999</c:v>
                      </c:pt>
                      <c:pt idx="3">
                        <c:v>15.515000000000001</c:v>
                      </c:pt>
                      <c:pt idx="4">
                        <c:v>15.539</c:v>
                      </c:pt>
                      <c:pt idx="5">
                        <c:v>15.545999999999999</c:v>
                      </c:pt>
                      <c:pt idx="6">
                        <c:v>15.542</c:v>
                      </c:pt>
                      <c:pt idx="7">
                        <c:v>15.531000000000001</c:v>
                      </c:pt>
                      <c:pt idx="8">
                        <c:v>15.566000000000001</c:v>
                      </c:pt>
                      <c:pt idx="9">
                        <c:v>13</c:v>
                      </c:pt>
                      <c:pt idx="10">
                        <c:v>15.161</c:v>
                      </c:pt>
                      <c:pt idx="11">
                        <c:v>17.440000000000001</c:v>
                      </c:pt>
                      <c:pt idx="12">
                        <c:v>17.001999999999999</c:v>
                      </c:pt>
                      <c:pt idx="13">
                        <c:v>16.3</c:v>
                      </c:pt>
                      <c:pt idx="14">
                        <c:v>15.411</c:v>
                      </c:pt>
                      <c:pt idx="15">
                        <c:v>14.347</c:v>
                      </c:pt>
                      <c:pt idx="16">
                        <c:v>13.606</c:v>
                      </c:pt>
                      <c:pt idx="17">
                        <c:v>12.952999999999999</c:v>
                      </c:pt>
                      <c:pt idx="18">
                        <c:v>12.303000000000001</c:v>
                      </c:pt>
                      <c:pt idx="19">
                        <c:v>11.657999999999999</c:v>
                      </c:pt>
                      <c:pt idx="20">
                        <c:v>11.958</c:v>
                      </c:pt>
                      <c:pt idx="21">
                        <c:v>11.044</c:v>
                      </c:pt>
                      <c:pt idx="22">
                        <c:v>7.53</c:v>
                      </c:pt>
                      <c:pt idx="23">
                        <c:v>5.7729999999999997</c:v>
                      </c:pt>
                      <c:pt idx="24">
                        <c:v>4.8944999999999999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A26-4A15-AC5D-AD85B0C5A139}"/>
                  </c:ext>
                </c:extLst>
              </c15:ser>
            </c15:filteredScatterSeries>
          </c:ext>
        </c:extLst>
      </c:scatterChart>
      <c:valAx>
        <c:axId val="1523384511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</a:t>
                </a:r>
                <a:r>
                  <a:rPr lang="en-US" baseline="0"/>
                  <a:t> growth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0.00&quot;%&quot;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523385951"/>
        <c:crosses val="autoZero"/>
        <c:crossBetween val="midCat"/>
      </c:valAx>
      <c:valAx>
        <c:axId val="15233859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Unemployment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0.00&quot;%&quot;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52338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Unemployment</a:t>
            </a:r>
            <a:r>
              <a:rPr lang="en-US" baseline="0"/>
              <a:t> vs GDP growth India</a:t>
            </a:r>
            <a:endParaRPr lang="ar-S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IND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3"/>
                </a:solidFill>
              </a:ln>
              <a:effectLst/>
            </c:spPr>
            <c:trendlineType val="linear"/>
            <c:forward val="2"/>
            <c:dispRSqr val="1"/>
            <c:dispEq val="1"/>
            <c:trendlineLbl>
              <c:layout>
                <c:manualLayout>
                  <c:x val="-9.3530665318211373E-2"/>
                  <c:y val="6.5027847128864988E-2"/>
                </c:manualLayout>
              </c:layout>
              <c:numFmt formatCode="General" sourceLinked="0"/>
              <c:spPr>
                <a:noFill/>
                <a:ln w="25400">
                  <a:solidFill>
                    <a:schemeClr val="accent3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rtl="0"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r-SA"/>
                </a:p>
              </c:txPr>
            </c:trendlineLbl>
          </c:trendline>
          <c:xVal>
            <c:numRef>
              <c:f>Cleaned_Data!$C$5:$AA$5</c:f>
              <c:numCache>
                <c:formatCode>0.00"%"\ </c:formatCode>
                <c:ptCount val="25"/>
                <c:pt idx="0">
                  <c:v>3.8409911565912864</c:v>
                </c:pt>
                <c:pt idx="1">
                  <c:v>4.8239662655577149</c:v>
                </c:pt>
                <c:pt idx="2">
                  <c:v>3.8039753211217544</c:v>
                </c:pt>
                <c:pt idx="3">
                  <c:v>7.8603814759073032</c:v>
                </c:pt>
                <c:pt idx="4">
                  <c:v>7.9229366119993188</c:v>
                </c:pt>
                <c:pt idx="5">
                  <c:v>7.9234306214831776</c:v>
                </c:pt>
                <c:pt idx="6">
                  <c:v>8.0607325716665059</c:v>
                </c:pt>
                <c:pt idx="7">
                  <c:v>7.6608150670107023</c:v>
                </c:pt>
                <c:pt idx="8">
                  <c:v>3.0866980592198132</c:v>
                </c:pt>
                <c:pt idx="9">
                  <c:v>7.8618888328607426</c:v>
                </c:pt>
                <c:pt idx="10">
                  <c:v>8.4975847022123503</c:v>
                </c:pt>
                <c:pt idx="11">
                  <c:v>5.2413161993769535</c:v>
                </c:pt>
                <c:pt idx="12">
                  <c:v>5.4563875516658698</c:v>
                </c:pt>
                <c:pt idx="13">
                  <c:v>6.3861064009482504</c:v>
                </c:pt>
                <c:pt idx="14">
                  <c:v>7.4102276050885365</c:v>
                </c:pt>
                <c:pt idx="15">
                  <c:v>7.996253785714714</c:v>
                </c:pt>
                <c:pt idx="16">
                  <c:v>8.2563055017908624</c:v>
                </c:pt>
                <c:pt idx="17">
                  <c:v>6.7953834189791138</c:v>
                </c:pt>
                <c:pt idx="18">
                  <c:v>6.4538513449776929</c:v>
                </c:pt>
                <c:pt idx="19">
                  <c:v>3.8714369407035605</c:v>
                </c:pt>
                <c:pt idx="20">
                  <c:v>-5.7777247068680104</c:v>
                </c:pt>
                <c:pt idx="21">
                  <c:v>9.6895924919287495</c:v>
                </c:pt>
                <c:pt idx="22">
                  <c:v>7.6093649776889549</c:v>
                </c:pt>
                <c:pt idx="23">
                  <c:v>9.1907549302834468</c:v>
                </c:pt>
                <c:pt idx="24">
                  <c:v>6.4842236303375671</c:v>
                </c:pt>
              </c:numCache>
            </c:numRef>
          </c:xVal>
          <c:yVal>
            <c:numRef>
              <c:f>Cleaned_Data!$C$6:$AA$6</c:f>
              <c:numCache>
                <c:formatCode>0.00"%"\ </c:formatCode>
                <c:ptCount val="25"/>
                <c:pt idx="0">
                  <c:v>7.6239999999999997</c:v>
                </c:pt>
                <c:pt idx="1">
                  <c:v>7.6529999999999996</c:v>
                </c:pt>
                <c:pt idx="2">
                  <c:v>7.7530000000000001</c:v>
                </c:pt>
                <c:pt idx="3">
                  <c:v>7.68</c:v>
                </c:pt>
                <c:pt idx="4">
                  <c:v>7.625</c:v>
                </c:pt>
                <c:pt idx="5">
                  <c:v>7.5519999999999996</c:v>
                </c:pt>
                <c:pt idx="6">
                  <c:v>7.5519999999999996</c:v>
                </c:pt>
                <c:pt idx="7">
                  <c:v>7.5609999999999999</c:v>
                </c:pt>
                <c:pt idx="8">
                  <c:v>7.6559999999999997</c:v>
                </c:pt>
                <c:pt idx="9">
                  <c:v>7.6639999999999997</c:v>
                </c:pt>
                <c:pt idx="10">
                  <c:v>7.6520000000000001</c:v>
                </c:pt>
                <c:pt idx="11">
                  <c:v>7.6159999999999997</c:v>
                </c:pt>
                <c:pt idx="12">
                  <c:v>7.6660000000000004</c:v>
                </c:pt>
                <c:pt idx="13">
                  <c:v>7.7110000000000003</c:v>
                </c:pt>
                <c:pt idx="14">
                  <c:v>7.6740000000000004</c:v>
                </c:pt>
                <c:pt idx="15">
                  <c:v>7.6310000000000002</c:v>
                </c:pt>
                <c:pt idx="16">
                  <c:v>7.601</c:v>
                </c:pt>
                <c:pt idx="17">
                  <c:v>7.6180000000000003</c:v>
                </c:pt>
                <c:pt idx="18">
                  <c:v>7.6520000000000001</c:v>
                </c:pt>
                <c:pt idx="19">
                  <c:v>6.51</c:v>
                </c:pt>
                <c:pt idx="20">
                  <c:v>7.859</c:v>
                </c:pt>
                <c:pt idx="21">
                  <c:v>6.38</c:v>
                </c:pt>
                <c:pt idx="22">
                  <c:v>4.8220000000000001</c:v>
                </c:pt>
                <c:pt idx="23">
                  <c:v>4.1719999999999997</c:v>
                </c:pt>
                <c:pt idx="24">
                  <c:v>4.202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8E-487B-834A-A83B57EFE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384511"/>
        <c:axId val="15233859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SAU</c:v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1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</a:ln>
                    <a:effectLst/>
                  </c:spPr>
                  <c:trendlineType val="linear"/>
                  <c:dispRSqr val="1"/>
                  <c:dispEq val="1"/>
                  <c:trendlineLbl>
                    <c:layout>
                      <c:manualLayout>
                        <c:x val="0.12381022317447907"/>
                        <c:y val="0.17137295338082731"/>
                      </c:manualLayout>
                    </c:layout>
                    <c:numFmt formatCode="General" sourceLinked="0"/>
                    <c:spPr>
                      <a:noFill/>
                      <a:ln w="25400">
                        <a:solidFill>
                          <a:schemeClr val="accent1"/>
                        </a:solidFill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ar-SA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Cleaned_Data!$C$2:$AA$2</c15:sqref>
                        </c15:formulaRef>
                      </c:ext>
                    </c:extLst>
                    <c:numCache>
                      <c:formatCode>0.00"%"\ </c:formatCode>
                      <c:ptCount val="25"/>
                      <c:pt idx="0">
                        <c:v>4.7181342213802395</c:v>
                      </c:pt>
                      <c:pt idx="1">
                        <c:v>0.34459319617543827</c:v>
                      </c:pt>
                      <c:pt idx="2">
                        <c:v>-0.68839013031775664</c:v>
                      </c:pt>
                      <c:pt idx="3">
                        <c:v>8.7687338174396388</c:v>
                      </c:pt>
                      <c:pt idx="4">
                        <c:v>8.631005458803088</c:v>
                      </c:pt>
                      <c:pt idx="5">
                        <c:v>5.9448962393483527</c:v>
                      </c:pt>
                      <c:pt idx="6">
                        <c:v>3.3134847362590136</c:v>
                      </c:pt>
                      <c:pt idx="7">
                        <c:v>2.2136539637252781</c:v>
                      </c:pt>
                      <c:pt idx="8">
                        <c:v>6.237987536545802</c:v>
                      </c:pt>
                      <c:pt idx="9">
                        <c:v>-1.0667171124020314</c:v>
                      </c:pt>
                      <c:pt idx="10">
                        <c:v>5.0395150823516985</c:v>
                      </c:pt>
                      <c:pt idx="11">
                        <c:v>11.75885680520048</c:v>
                      </c:pt>
                      <c:pt idx="12">
                        <c:v>5.7615073241280186</c:v>
                      </c:pt>
                      <c:pt idx="13">
                        <c:v>2.9456999070129655</c:v>
                      </c:pt>
                      <c:pt idx="14">
                        <c:v>4.0246407058452718</c:v>
                      </c:pt>
                      <c:pt idx="15">
                        <c:v>4.655123166526991</c:v>
                      </c:pt>
                      <c:pt idx="16">
                        <c:v>1.7040746576595609</c:v>
                      </c:pt>
                      <c:pt idx="17">
                        <c:v>1.1820799330852623</c:v>
                      </c:pt>
                      <c:pt idx="18">
                        <c:v>3.2269508901591024</c:v>
                      </c:pt>
                      <c:pt idx="19">
                        <c:v>1.6515635888557654</c:v>
                      </c:pt>
                      <c:pt idx="20">
                        <c:v>-3.8047647303899907</c:v>
                      </c:pt>
                      <c:pt idx="21">
                        <c:v>6.5195969832541891</c:v>
                      </c:pt>
                      <c:pt idx="22">
                        <c:v>12.000587475292889</c:v>
                      </c:pt>
                      <c:pt idx="23">
                        <c:v>0.54259243939316093</c:v>
                      </c:pt>
                      <c:pt idx="24">
                        <c:v>1.8079551514729815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Cleaned_Data!$C$3:$AA$3</c15:sqref>
                        </c15:formulaRef>
                      </c:ext>
                    </c:extLst>
                    <c:numCache>
                      <c:formatCode>0.00"%"\ </c:formatCode>
                      <c:ptCount val="25"/>
                      <c:pt idx="0">
                        <c:v>4.57</c:v>
                      </c:pt>
                      <c:pt idx="1">
                        <c:v>4.6180000000000003</c:v>
                      </c:pt>
                      <c:pt idx="2">
                        <c:v>5.2649999999999997</c:v>
                      </c:pt>
                      <c:pt idx="3">
                        <c:v>5.5629999999999997</c:v>
                      </c:pt>
                      <c:pt idx="4">
                        <c:v>5.8220000000000001</c:v>
                      </c:pt>
                      <c:pt idx="5">
                        <c:v>6.0510000000000002</c:v>
                      </c:pt>
                      <c:pt idx="6">
                        <c:v>6.2539999999999996</c:v>
                      </c:pt>
                      <c:pt idx="7">
                        <c:v>5.734</c:v>
                      </c:pt>
                      <c:pt idx="8">
                        <c:v>5.085</c:v>
                      </c:pt>
                      <c:pt idx="9">
                        <c:v>5.3769999999999998</c:v>
                      </c:pt>
                      <c:pt idx="10">
                        <c:v>5.55</c:v>
                      </c:pt>
                      <c:pt idx="11">
                        <c:v>5.77</c:v>
                      </c:pt>
                      <c:pt idx="12">
                        <c:v>5.6219999999999999</c:v>
                      </c:pt>
                      <c:pt idx="13">
                        <c:v>5.6</c:v>
                      </c:pt>
                      <c:pt idx="14">
                        <c:v>5.8769999999999998</c:v>
                      </c:pt>
                      <c:pt idx="15">
                        <c:v>5.6</c:v>
                      </c:pt>
                      <c:pt idx="16">
                        <c:v>5.6</c:v>
                      </c:pt>
                      <c:pt idx="17">
                        <c:v>5.89</c:v>
                      </c:pt>
                      <c:pt idx="18">
                        <c:v>6.0289999999999999</c:v>
                      </c:pt>
                      <c:pt idx="19">
                        <c:v>5.6360000000000001</c:v>
                      </c:pt>
                      <c:pt idx="20">
                        <c:v>7.66</c:v>
                      </c:pt>
                      <c:pt idx="21">
                        <c:v>6.6210000000000004</c:v>
                      </c:pt>
                      <c:pt idx="22">
                        <c:v>5.5890000000000004</c:v>
                      </c:pt>
                      <c:pt idx="23">
                        <c:v>4.008</c:v>
                      </c:pt>
                      <c:pt idx="24">
                        <c:v>3.8959999999999999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358E-487B-834A-A83B57EFE2D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SDN</c:v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5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</a:ln>
                    <a:effectLst/>
                  </c:spPr>
                  <c:trendlineType val="linear"/>
                  <c:dispRSqr val="1"/>
                  <c:dispEq val="1"/>
                  <c:trendlineLbl>
                    <c:layout>
                      <c:manualLayout>
                        <c:x val="0.34685159499863755"/>
                        <c:y val="-0.15016685414323211"/>
                      </c:manualLayout>
                    </c:layout>
                    <c:numFmt formatCode="General" sourceLinked="0"/>
                    <c:spPr>
                      <a:noFill/>
                      <a:ln w="25400">
                        <a:solidFill>
                          <a:schemeClr val="accent5"/>
                        </a:solidFill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ar-SA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Cleaned_Data!$C$8:$AA$8</c15:sqref>
                        </c15:formulaRef>
                      </c:ext>
                    </c:extLst>
                    <c:numCache>
                      <c:formatCode>0.00"%"\ </c:formatCode>
                      <c:ptCount val="25"/>
                      <c:pt idx="0">
                        <c:v>6.34586743997545</c:v>
                      </c:pt>
                      <c:pt idx="1">
                        <c:v>6.5003605339688306</c:v>
                      </c:pt>
                      <c:pt idx="2">
                        <c:v>6.0064715363131995</c:v>
                      </c:pt>
                      <c:pt idx="3">
                        <c:v>6.2888081614651554</c:v>
                      </c:pt>
                      <c:pt idx="4">
                        <c:v>5.1408885176267489</c:v>
                      </c:pt>
                      <c:pt idx="5">
                        <c:v>5.6435155134363129</c:v>
                      </c:pt>
                      <c:pt idx="6">
                        <c:v>6.5314117467791988</c:v>
                      </c:pt>
                      <c:pt idx="7">
                        <c:v>5.735274236644841</c:v>
                      </c:pt>
                      <c:pt idx="8">
                        <c:v>3.8467447312105776</c:v>
                      </c:pt>
                      <c:pt idx="9">
                        <c:v>-2.7677043659913778</c:v>
                      </c:pt>
                      <c:pt idx="10">
                        <c:v>3.8582419523010714</c:v>
                      </c:pt>
                      <c:pt idx="11">
                        <c:v>-3.2135320925337112</c:v>
                      </c:pt>
                      <c:pt idx="12">
                        <c:v>-17.004688404894466</c:v>
                      </c:pt>
                      <c:pt idx="13">
                        <c:v>1.9551446330242186</c:v>
                      </c:pt>
                      <c:pt idx="14">
                        <c:v>4.6613795422987323</c:v>
                      </c:pt>
                      <c:pt idx="15">
                        <c:v>1.9101768905275094</c:v>
                      </c:pt>
                      <c:pt idx="16">
                        <c:v>3.4676421840928811</c:v>
                      </c:pt>
                      <c:pt idx="17">
                        <c:v>0.70925628476643965</c:v>
                      </c:pt>
                      <c:pt idx="18">
                        <c:v>-2.6809305497998963</c:v>
                      </c:pt>
                      <c:pt idx="19">
                        <c:v>-2.178251045300911</c:v>
                      </c:pt>
                      <c:pt idx="20">
                        <c:v>-3.6298008241075195</c:v>
                      </c:pt>
                      <c:pt idx="21">
                        <c:v>-1.8685204827206974</c:v>
                      </c:pt>
                      <c:pt idx="22">
                        <c:v>-3.78</c:v>
                      </c:pt>
                      <c:pt idx="23">
                        <c:v>-4.25</c:v>
                      </c:pt>
                      <c:pt idx="24">
                        <c:v>-4.71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Cleaned_Data!$C$9:$AA$9</c15:sqref>
                        </c15:formulaRef>
                      </c:ext>
                    </c:extLst>
                    <c:numCache>
                      <c:formatCode>0.00"%"\ </c:formatCode>
                      <c:ptCount val="25"/>
                      <c:pt idx="0">
                        <c:v>15.608000000000001</c:v>
                      </c:pt>
                      <c:pt idx="1">
                        <c:v>15.568</c:v>
                      </c:pt>
                      <c:pt idx="2">
                        <c:v>15.513999999999999</c:v>
                      </c:pt>
                      <c:pt idx="3">
                        <c:v>15.515000000000001</c:v>
                      </c:pt>
                      <c:pt idx="4">
                        <c:v>15.539</c:v>
                      </c:pt>
                      <c:pt idx="5">
                        <c:v>15.545999999999999</c:v>
                      </c:pt>
                      <c:pt idx="6">
                        <c:v>15.542</c:v>
                      </c:pt>
                      <c:pt idx="7">
                        <c:v>15.531000000000001</c:v>
                      </c:pt>
                      <c:pt idx="8">
                        <c:v>15.566000000000001</c:v>
                      </c:pt>
                      <c:pt idx="9">
                        <c:v>13</c:v>
                      </c:pt>
                      <c:pt idx="10">
                        <c:v>15.161</c:v>
                      </c:pt>
                      <c:pt idx="11">
                        <c:v>17.440000000000001</c:v>
                      </c:pt>
                      <c:pt idx="12">
                        <c:v>17.001999999999999</c:v>
                      </c:pt>
                      <c:pt idx="13">
                        <c:v>16.3</c:v>
                      </c:pt>
                      <c:pt idx="14">
                        <c:v>15.411</c:v>
                      </c:pt>
                      <c:pt idx="15">
                        <c:v>14.347</c:v>
                      </c:pt>
                      <c:pt idx="16">
                        <c:v>13.606</c:v>
                      </c:pt>
                      <c:pt idx="17">
                        <c:v>12.952999999999999</c:v>
                      </c:pt>
                      <c:pt idx="18">
                        <c:v>12.303000000000001</c:v>
                      </c:pt>
                      <c:pt idx="19">
                        <c:v>11.657999999999999</c:v>
                      </c:pt>
                      <c:pt idx="20">
                        <c:v>11.958</c:v>
                      </c:pt>
                      <c:pt idx="21">
                        <c:v>11.044</c:v>
                      </c:pt>
                      <c:pt idx="22">
                        <c:v>7.53</c:v>
                      </c:pt>
                      <c:pt idx="23">
                        <c:v>5.7729999999999997</c:v>
                      </c:pt>
                      <c:pt idx="24">
                        <c:v>4.8944999999999999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58E-487B-834A-A83B57EFE2DF}"/>
                  </c:ext>
                </c:extLst>
              </c15:ser>
            </c15:filteredScatterSeries>
          </c:ext>
        </c:extLst>
      </c:scatterChart>
      <c:valAx>
        <c:axId val="1523384511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</a:t>
                </a:r>
                <a:r>
                  <a:rPr lang="en-US" baseline="0"/>
                  <a:t> growth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0.00&quot;%&quot;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523385951"/>
        <c:crosses val="autoZero"/>
        <c:crossBetween val="midCat"/>
      </c:valAx>
      <c:valAx>
        <c:axId val="15233859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Unemployment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0.00&quot;%&quot;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52338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Unemployment</a:t>
            </a:r>
            <a:r>
              <a:rPr lang="en-US" baseline="0"/>
              <a:t> vs GDP growth Sudan</a:t>
            </a:r>
            <a:endParaRPr lang="ar-S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v>SDN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7812978295745813E-2"/>
                  <c:y val="4.5232395950506189E-2"/>
                </c:manualLayout>
              </c:layout>
              <c:numFmt formatCode="General" sourceLinked="0"/>
              <c:spPr>
                <a:noFill/>
                <a:ln w="25400">
                  <a:solidFill>
                    <a:schemeClr val="accent5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rtl="0"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r-SA"/>
                </a:p>
              </c:txPr>
            </c:trendlineLbl>
          </c:trendline>
          <c:xVal>
            <c:numRef>
              <c:f>Cleaned_Data!$C$8:$AA$8</c:f>
              <c:numCache>
                <c:formatCode>0.00"%"\ </c:formatCode>
                <c:ptCount val="25"/>
                <c:pt idx="0">
                  <c:v>6.34586743997545</c:v>
                </c:pt>
                <c:pt idx="1">
                  <c:v>6.5003605339688306</c:v>
                </c:pt>
                <c:pt idx="2">
                  <c:v>6.0064715363131995</c:v>
                </c:pt>
                <c:pt idx="3">
                  <c:v>6.2888081614651554</c:v>
                </c:pt>
                <c:pt idx="4">
                  <c:v>5.1408885176267489</c:v>
                </c:pt>
                <c:pt idx="5">
                  <c:v>5.6435155134363129</c:v>
                </c:pt>
                <c:pt idx="6">
                  <c:v>6.5314117467791988</c:v>
                </c:pt>
                <c:pt idx="7">
                  <c:v>5.735274236644841</c:v>
                </c:pt>
                <c:pt idx="8">
                  <c:v>3.8467447312105776</c:v>
                </c:pt>
                <c:pt idx="9">
                  <c:v>-2.7677043659913778</c:v>
                </c:pt>
                <c:pt idx="10">
                  <c:v>3.8582419523010714</c:v>
                </c:pt>
                <c:pt idx="11">
                  <c:v>-3.2135320925337112</c:v>
                </c:pt>
                <c:pt idx="12">
                  <c:v>-17.004688404894466</c:v>
                </c:pt>
                <c:pt idx="13">
                  <c:v>1.9551446330242186</c:v>
                </c:pt>
                <c:pt idx="14">
                  <c:v>4.6613795422987323</c:v>
                </c:pt>
                <c:pt idx="15">
                  <c:v>1.9101768905275094</c:v>
                </c:pt>
                <c:pt idx="16">
                  <c:v>3.4676421840928811</c:v>
                </c:pt>
                <c:pt idx="17">
                  <c:v>0.70925628476643965</c:v>
                </c:pt>
                <c:pt idx="18">
                  <c:v>-2.6809305497998963</c:v>
                </c:pt>
                <c:pt idx="19">
                  <c:v>-2.178251045300911</c:v>
                </c:pt>
                <c:pt idx="20">
                  <c:v>-3.6298008241075195</c:v>
                </c:pt>
                <c:pt idx="21">
                  <c:v>-1.8685204827206974</c:v>
                </c:pt>
                <c:pt idx="22">
                  <c:v>-3.78</c:v>
                </c:pt>
                <c:pt idx="23">
                  <c:v>-4.25</c:v>
                </c:pt>
                <c:pt idx="24">
                  <c:v>-4.71</c:v>
                </c:pt>
              </c:numCache>
            </c:numRef>
          </c:xVal>
          <c:yVal>
            <c:numRef>
              <c:f>Cleaned_Data!$C$9:$AA$9</c:f>
              <c:numCache>
                <c:formatCode>0.00"%"\ </c:formatCode>
                <c:ptCount val="25"/>
                <c:pt idx="0">
                  <c:v>15.608000000000001</c:v>
                </c:pt>
                <c:pt idx="1">
                  <c:v>15.568</c:v>
                </c:pt>
                <c:pt idx="2">
                  <c:v>15.513999999999999</c:v>
                </c:pt>
                <c:pt idx="3">
                  <c:v>15.515000000000001</c:v>
                </c:pt>
                <c:pt idx="4">
                  <c:v>15.539</c:v>
                </c:pt>
                <c:pt idx="5">
                  <c:v>15.545999999999999</c:v>
                </c:pt>
                <c:pt idx="6">
                  <c:v>15.542</c:v>
                </c:pt>
                <c:pt idx="7">
                  <c:v>15.531000000000001</c:v>
                </c:pt>
                <c:pt idx="8">
                  <c:v>15.566000000000001</c:v>
                </c:pt>
                <c:pt idx="9">
                  <c:v>13</c:v>
                </c:pt>
                <c:pt idx="10">
                  <c:v>15.161</c:v>
                </c:pt>
                <c:pt idx="11">
                  <c:v>17.440000000000001</c:v>
                </c:pt>
                <c:pt idx="12">
                  <c:v>17.001999999999999</c:v>
                </c:pt>
                <c:pt idx="13">
                  <c:v>16.3</c:v>
                </c:pt>
                <c:pt idx="14">
                  <c:v>15.411</c:v>
                </c:pt>
                <c:pt idx="15">
                  <c:v>14.347</c:v>
                </c:pt>
                <c:pt idx="16">
                  <c:v>13.606</c:v>
                </c:pt>
                <c:pt idx="17">
                  <c:v>12.952999999999999</c:v>
                </c:pt>
                <c:pt idx="18">
                  <c:v>12.303000000000001</c:v>
                </c:pt>
                <c:pt idx="19">
                  <c:v>11.657999999999999</c:v>
                </c:pt>
                <c:pt idx="20">
                  <c:v>11.958</c:v>
                </c:pt>
                <c:pt idx="21">
                  <c:v>11.044</c:v>
                </c:pt>
                <c:pt idx="22">
                  <c:v>7.53</c:v>
                </c:pt>
                <c:pt idx="23">
                  <c:v>5.7729999999999997</c:v>
                </c:pt>
                <c:pt idx="24">
                  <c:v>4.8944999999999999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27-4C66-A7CE-27278D852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384511"/>
        <c:axId val="15233859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SAU</c:v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1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</a:ln>
                    <a:effectLst/>
                  </c:spPr>
                  <c:trendlineType val="linear"/>
                  <c:dispRSqr val="1"/>
                  <c:dispEq val="1"/>
                  <c:trendlineLbl>
                    <c:layout>
                      <c:manualLayout>
                        <c:x val="0.12381022317447907"/>
                        <c:y val="0.17137295338082731"/>
                      </c:manualLayout>
                    </c:layout>
                    <c:numFmt formatCode="General" sourceLinked="0"/>
                    <c:spPr>
                      <a:noFill/>
                      <a:ln w="25400">
                        <a:solidFill>
                          <a:schemeClr val="accent1"/>
                        </a:solidFill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ar-SA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Cleaned_Data!$C$2:$AA$2</c15:sqref>
                        </c15:formulaRef>
                      </c:ext>
                    </c:extLst>
                    <c:numCache>
                      <c:formatCode>0.00"%"\ </c:formatCode>
                      <c:ptCount val="25"/>
                      <c:pt idx="0">
                        <c:v>4.7181342213802395</c:v>
                      </c:pt>
                      <c:pt idx="1">
                        <c:v>0.34459319617543827</c:v>
                      </c:pt>
                      <c:pt idx="2">
                        <c:v>-0.68839013031775664</c:v>
                      </c:pt>
                      <c:pt idx="3">
                        <c:v>8.7687338174396388</c:v>
                      </c:pt>
                      <c:pt idx="4">
                        <c:v>8.631005458803088</c:v>
                      </c:pt>
                      <c:pt idx="5">
                        <c:v>5.9448962393483527</c:v>
                      </c:pt>
                      <c:pt idx="6">
                        <c:v>3.3134847362590136</c:v>
                      </c:pt>
                      <c:pt idx="7">
                        <c:v>2.2136539637252781</c:v>
                      </c:pt>
                      <c:pt idx="8">
                        <c:v>6.237987536545802</c:v>
                      </c:pt>
                      <c:pt idx="9">
                        <c:v>-1.0667171124020314</c:v>
                      </c:pt>
                      <c:pt idx="10">
                        <c:v>5.0395150823516985</c:v>
                      </c:pt>
                      <c:pt idx="11">
                        <c:v>11.75885680520048</c:v>
                      </c:pt>
                      <c:pt idx="12">
                        <c:v>5.7615073241280186</c:v>
                      </c:pt>
                      <c:pt idx="13">
                        <c:v>2.9456999070129655</c:v>
                      </c:pt>
                      <c:pt idx="14">
                        <c:v>4.0246407058452718</c:v>
                      </c:pt>
                      <c:pt idx="15">
                        <c:v>4.655123166526991</c:v>
                      </c:pt>
                      <c:pt idx="16">
                        <c:v>1.7040746576595609</c:v>
                      </c:pt>
                      <c:pt idx="17">
                        <c:v>1.1820799330852623</c:v>
                      </c:pt>
                      <c:pt idx="18">
                        <c:v>3.2269508901591024</c:v>
                      </c:pt>
                      <c:pt idx="19">
                        <c:v>1.6515635888557654</c:v>
                      </c:pt>
                      <c:pt idx="20">
                        <c:v>-3.8047647303899907</c:v>
                      </c:pt>
                      <c:pt idx="21">
                        <c:v>6.5195969832541891</c:v>
                      </c:pt>
                      <c:pt idx="22">
                        <c:v>12.000587475292889</c:v>
                      </c:pt>
                      <c:pt idx="23">
                        <c:v>0.54259243939316093</c:v>
                      </c:pt>
                      <c:pt idx="24">
                        <c:v>1.8079551514729815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Cleaned_Data!$C$3:$AA$3</c15:sqref>
                        </c15:formulaRef>
                      </c:ext>
                    </c:extLst>
                    <c:numCache>
                      <c:formatCode>0.00"%"\ </c:formatCode>
                      <c:ptCount val="25"/>
                      <c:pt idx="0">
                        <c:v>4.57</c:v>
                      </c:pt>
                      <c:pt idx="1">
                        <c:v>4.6180000000000003</c:v>
                      </c:pt>
                      <c:pt idx="2">
                        <c:v>5.2649999999999997</c:v>
                      </c:pt>
                      <c:pt idx="3">
                        <c:v>5.5629999999999997</c:v>
                      </c:pt>
                      <c:pt idx="4">
                        <c:v>5.8220000000000001</c:v>
                      </c:pt>
                      <c:pt idx="5">
                        <c:v>6.0510000000000002</c:v>
                      </c:pt>
                      <c:pt idx="6">
                        <c:v>6.2539999999999996</c:v>
                      </c:pt>
                      <c:pt idx="7">
                        <c:v>5.734</c:v>
                      </c:pt>
                      <c:pt idx="8">
                        <c:v>5.085</c:v>
                      </c:pt>
                      <c:pt idx="9">
                        <c:v>5.3769999999999998</c:v>
                      </c:pt>
                      <c:pt idx="10">
                        <c:v>5.55</c:v>
                      </c:pt>
                      <c:pt idx="11">
                        <c:v>5.77</c:v>
                      </c:pt>
                      <c:pt idx="12">
                        <c:v>5.6219999999999999</c:v>
                      </c:pt>
                      <c:pt idx="13">
                        <c:v>5.6</c:v>
                      </c:pt>
                      <c:pt idx="14">
                        <c:v>5.8769999999999998</c:v>
                      </c:pt>
                      <c:pt idx="15">
                        <c:v>5.6</c:v>
                      </c:pt>
                      <c:pt idx="16">
                        <c:v>5.6</c:v>
                      </c:pt>
                      <c:pt idx="17">
                        <c:v>5.89</c:v>
                      </c:pt>
                      <c:pt idx="18">
                        <c:v>6.0289999999999999</c:v>
                      </c:pt>
                      <c:pt idx="19">
                        <c:v>5.6360000000000001</c:v>
                      </c:pt>
                      <c:pt idx="20">
                        <c:v>7.66</c:v>
                      </c:pt>
                      <c:pt idx="21">
                        <c:v>6.6210000000000004</c:v>
                      </c:pt>
                      <c:pt idx="22">
                        <c:v>5.5890000000000004</c:v>
                      </c:pt>
                      <c:pt idx="23">
                        <c:v>4.008</c:v>
                      </c:pt>
                      <c:pt idx="24">
                        <c:v>3.8959999999999999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D27-4C66-A7CE-27278D852E8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IND</c:v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3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</a:ln>
                    <a:effectLst/>
                  </c:spPr>
                  <c:trendlineType val="linear"/>
                  <c:forward val="2"/>
                  <c:dispRSqr val="1"/>
                  <c:dispEq val="1"/>
                  <c:trendlineLbl>
                    <c:layout>
                      <c:manualLayout>
                        <c:x val="0.12433681934715236"/>
                        <c:y val="-0.1692644669416323"/>
                      </c:manualLayout>
                    </c:layout>
                    <c:numFmt formatCode="General" sourceLinked="0"/>
                    <c:spPr>
                      <a:noFill/>
                      <a:ln w="25400">
                        <a:solidFill>
                          <a:schemeClr val="accent3"/>
                        </a:solidFill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ar-SA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Cleaned_Data!$C$5:$AA$5</c15:sqref>
                        </c15:formulaRef>
                      </c:ext>
                    </c:extLst>
                    <c:numCache>
                      <c:formatCode>0.00"%"\ </c:formatCode>
                      <c:ptCount val="25"/>
                      <c:pt idx="0">
                        <c:v>3.8409911565912864</c:v>
                      </c:pt>
                      <c:pt idx="1">
                        <c:v>4.8239662655577149</c:v>
                      </c:pt>
                      <c:pt idx="2">
                        <c:v>3.8039753211217544</c:v>
                      </c:pt>
                      <c:pt idx="3">
                        <c:v>7.8603814759073032</c:v>
                      </c:pt>
                      <c:pt idx="4">
                        <c:v>7.9229366119993188</c:v>
                      </c:pt>
                      <c:pt idx="5">
                        <c:v>7.9234306214831776</c:v>
                      </c:pt>
                      <c:pt idx="6">
                        <c:v>8.0607325716665059</c:v>
                      </c:pt>
                      <c:pt idx="7">
                        <c:v>7.6608150670107023</c:v>
                      </c:pt>
                      <c:pt idx="8">
                        <c:v>3.0866980592198132</c:v>
                      </c:pt>
                      <c:pt idx="9">
                        <c:v>7.8618888328607426</c:v>
                      </c:pt>
                      <c:pt idx="10">
                        <c:v>8.4975847022123503</c:v>
                      </c:pt>
                      <c:pt idx="11">
                        <c:v>5.2413161993769535</c:v>
                      </c:pt>
                      <c:pt idx="12">
                        <c:v>5.4563875516658698</c:v>
                      </c:pt>
                      <c:pt idx="13">
                        <c:v>6.3861064009482504</c:v>
                      </c:pt>
                      <c:pt idx="14">
                        <c:v>7.4102276050885365</c:v>
                      </c:pt>
                      <c:pt idx="15">
                        <c:v>7.996253785714714</c:v>
                      </c:pt>
                      <c:pt idx="16">
                        <c:v>8.2563055017908624</c:v>
                      </c:pt>
                      <c:pt idx="17">
                        <c:v>6.7953834189791138</c:v>
                      </c:pt>
                      <c:pt idx="18">
                        <c:v>6.4538513449776929</c:v>
                      </c:pt>
                      <c:pt idx="19">
                        <c:v>3.8714369407035605</c:v>
                      </c:pt>
                      <c:pt idx="20">
                        <c:v>-5.7777247068680104</c:v>
                      </c:pt>
                      <c:pt idx="21">
                        <c:v>9.6895924919287495</c:v>
                      </c:pt>
                      <c:pt idx="22">
                        <c:v>7.6093649776889549</c:v>
                      </c:pt>
                      <c:pt idx="23">
                        <c:v>9.1907549302834468</c:v>
                      </c:pt>
                      <c:pt idx="24">
                        <c:v>6.4842236303375671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Cleaned_Data!$C$6:$AA$6</c15:sqref>
                        </c15:formulaRef>
                      </c:ext>
                    </c:extLst>
                    <c:numCache>
                      <c:formatCode>0.00"%"\ </c:formatCode>
                      <c:ptCount val="25"/>
                      <c:pt idx="0">
                        <c:v>7.6239999999999997</c:v>
                      </c:pt>
                      <c:pt idx="1">
                        <c:v>7.6529999999999996</c:v>
                      </c:pt>
                      <c:pt idx="2">
                        <c:v>7.7530000000000001</c:v>
                      </c:pt>
                      <c:pt idx="3">
                        <c:v>7.68</c:v>
                      </c:pt>
                      <c:pt idx="4">
                        <c:v>7.625</c:v>
                      </c:pt>
                      <c:pt idx="5">
                        <c:v>7.5519999999999996</c:v>
                      </c:pt>
                      <c:pt idx="6">
                        <c:v>7.5519999999999996</c:v>
                      </c:pt>
                      <c:pt idx="7">
                        <c:v>7.5609999999999999</c:v>
                      </c:pt>
                      <c:pt idx="8">
                        <c:v>7.6559999999999997</c:v>
                      </c:pt>
                      <c:pt idx="9">
                        <c:v>7.6639999999999997</c:v>
                      </c:pt>
                      <c:pt idx="10">
                        <c:v>7.6520000000000001</c:v>
                      </c:pt>
                      <c:pt idx="11">
                        <c:v>7.6159999999999997</c:v>
                      </c:pt>
                      <c:pt idx="12">
                        <c:v>7.6660000000000004</c:v>
                      </c:pt>
                      <c:pt idx="13">
                        <c:v>7.7110000000000003</c:v>
                      </c:pt>
                      <c:pt idx="14">
                        <c:v>7.6740000000000004</c:v>
                      </c:pt>
                      <c:pt idx="15">
                        <c:v>7.6310000000000002</c:v>
                      </c:pt>
                      <c:pt idx="16">
                        <c:v>7.601</c:v>
                      </c:pt>
                      <c:pt idx="17">
                        <c:v>7.6180000000000003</c:v>
                      </c:pt>
                      <c:pt idx="18">
                        <c:v>7.6520000000000001</c:v>
                      </c:pt>
                      <c:pt idx="19">
                        <c:v>6.51</c:v>
                      </c:pt>
                      <c:pt idx="20">
                        <c:v>7.859</c:v>
                      </c:pt>
                      <c:pt idx="21">
                        <c:v>6.38</c:v>
                      </c:pt>
                      <c:pt idx="22">
                        <c:v>4.8220000000000001</c:v>
                      </c:pt>
                      <c:pt idx="23">
                        <c:v>4.1719999999999997</c:v>
                      </c:pt>
                      <c:pt idx="24">
                        <c:v>4.202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D27-4C66-A7CE-27278D852E8B}"/>
                  </c:ext>
                </c:extLst>
              </c15:ser>
            </c15:filteredScatterSeries>
          </c:ext>
        </c:extLst>
      </c:scatterChart>
      <c:valAx>
        <c:axId val="1523384511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</a:t>
                </a:r>
                <a:r>
                  <a:rPr lang="en-US" baseline="0"/>
                  <a:t> growth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0.00&quot;%&quot;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523385951"/>
        <c:crosses val="autoZero"/>
        <c:crossBetween val="midCat"/>
      </c:valAx>
      <c:valAx>
        <c:axId val="15233859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Unemployment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0.00&quot;%&quot;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52338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958920</xdr:colOff>
      <xdr:row>18</xdr:row>
      <xdr:rowOff>23032</xdr:rowOff>
    </xdr:from>
    <xdr:to>
      <xdr:col>7</xdr:col>
      <xdr:colOff>5735</xdr:colOff>
      <xdr:row>31</xdr:row>
      <xdr:rowOff>42895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82EA4DC7-6CB4-94D9-8BC4-E18E3C75DC46}"/>
            </a:ext>
          </a:extLst>
        </xdr:cNvPr>
        <xdr:cNvSpPr txBox="1"/>
      </xdr:nvSpPr>
      <xdr:spPr>
        <a:xfrm flipH="1">
          <a:off x="958920" y="3292012"/>
          <a:ext cx="5363795" cy="2298243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lvl="0" algn="l" rtl="0"/>
          <a:r>
            <a:rPr lang="en-US" sz="1200"/>
            <a:t>- The analysis</a:t>
          </a:r>
          <a:r>
            <a:rPr lang="en-US" sz="1200" baseline="0"/>
            <a:t> based on the average values (mean) of each indicator to show overall performance of Saudi Arabia, India, and Sudan.</a:t>
          </a:r>
        </a:p>
        <a:p>
          <a:pPr lvl="0" algn="l" rtl="0"/>
          <a:r>
            <a:rPr lang="en-US" sz="1200" baseline="0"/>
            <a:t>- India has the strongest economy, with the highest average GDP growth and labor force participation.</a:t>
          </a:r>
        </a:p>
        <a:p>
          <a:pPr lvl="0" algn="l" rtl="0"/>
          <a:r>
            <a:rPr lang="en-US" sz="1200" baseline="0"/>
            <a:t>- Saudi Arabia shows moderate but, stable growth with low unemployment, reflecting a well-balanced labor market.</a:t>
          </a:r>
        </a:p>
        <a:p>
          <a:pPr lvl="0" algn="l" rtl="0"/>
          <a:r>
            <a:rPr lang="en-US" sz="1200" baseline="0"/>
            <a:t>- Sudan, however, faces major challenges, its average GDP growth is negative, unemployment is high, and labor force participation is the lowest among the three countries.</a:t>
          </a:r>
        </a:p>
        <a:p>
          <a:pPr lvl="0" algn="l" rtl="0"/>
          <a:r>
            <a:rPr lang="en-US" sz="1200" baseline="0"/>
            <a:t>- These results highlight clear differences in economic stability and labor market strength across the countries.</a:t>
          </a:r>
          <a:endParaRPr lang="ar-SA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674914</xdr:rowOff>
    </xdr:from>
    <xdr:to>
      <xdr:col>0</xdr:col>
      <xdr:colOff>3017520</xdr:colOff>
      <xdr:row>9</xdr:row>
      <xdr:rowOff>3767546</xdr:rowOff>
    </xdr:to>
    <xdr:graphicFrame macro="">
      <xdr:nvGraphicFramePr>
        <xdr:cNvPr id="7" name="مخطط 1">
          <a:extLst>
            <a:ext uri="{FF2B5EF4-FFF2-40B4-BE49-F238E27FC236}">
              <a16:creationId xmlns:a16="http://schemas.microsoft.com/office/drawing/2014/main" id="{D6D305A5-25B1-44D0-B823-8735ECCA1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3045823</xdr:colOff>
      <xdr:row>9</xdr:row>
      <xdr:rowOff>681443</xdr:rowOff>
    </xdr:from>
    <xdr:to>
      <xdr:col>0</xdr:col>
      <xdr:colOff>5331823</xdr:colOff>
      <xdr:row>9</xdr:row>
      <xdr:rowOff>3774075</xdr:rowOff>
    </xdr:to>
    <xdr:graphicFrame macro="">
      <xdr:nvGraphicFramePr>
        <xdr:cNvPr id="9" name="مخطط 8">
          <a:extLst>
            <a:ext uri="{FF2B5EF4-FFF2-40B4-BE49-F238E27FC236}">
              <a16:creationId xmlns:a16="http://schemas.microsoft.com/office/drawing/2014/main" id="{31D6862F-C25D-44FD-9920-144AE88EE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165947</xdr:colOff>
      <xdr:row>9</xdr:row>
      <xdr:rowOff>3823547</xdr:rowOff>
    </xdr:from>
    <xdr:to>
      <xdr:col>0</xdr:col>
      <xdr:colOff>5195147</xdr:colOff>
      <xdr:row>10</xdr:row>
      <xdr:rowOff>2650067</xdr:rowOff>
    </xdr:to>
    <xdr:graphicFrame macro="">
      <xdr:nvGraphicFramePr>
        <xdr:cNvPr id="13" name="مخطط 2">
          <a:extLst>
            <a:ext uri="{FF2B5EF4-FFF2-40B4-BE49-F238E27FC236}">
              <a16:creationId xmlns:a16="http://schemas.microsoft.com/office/drawing/2014/main" id="{72D84978-D823-401E-8AC4-78D4FBB92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668866</xdr:colOff>
      <xdr:row>0</xdr:row>
      <xdr:rowOff>157479</xdr:rowOff>
    </xdr:from>
    <xdr:to>
      <xdr:col>9</xdr:col>
      <xdr:colOff>0</xdr:colOff>
      <xdr:row>18</xdr:row>
      <xdr:rowOff>0</xdr:rowOff>
    </xdr:to>
    <xdr:graphicFrame macro="">
      <xdr:nvGraphicFramePr>
        <xdr:cNvPr id="3" name="مخطط 1">
          <a:extLst>
            <a:ext uri="{FF2B5EF4-FFF2-40B4-BE49-F238E27FC236}">
              <a16:creationId xmlns:a16="http://schemas.microsoft.com/office/drawing/2014/main" id="{E89EEEF9-6455-8A64-9DB8-B4F9D46A1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660401</xdr:colOff>
      <xdr:row>1</xdr:row>
      <xdr:rowOff>2116</xdr:rowOff>
    </xdr:from>
    <xdr:to>
      <xdr:col>16</xdr:col>
      <xdr:colOff>643467</xdr:colOff>
      <xdr:row>17</xdr:row>
      <xdr:rowOff>169333</xdr:rowOff>
    </xdr:to>
    <xdr:graphicFrame macro="">
      <xdr:nvGraphicFramePr>
        <xdr:cNvPr id="5" name="مخطط 4">
          <a:extLst>
            <a:ext uri="{FF2B5EF4-FFF2-40B4-BE49-F238E27FC236}">
              <a16:creationId xmlns:a16="http://schemas.microsoft.com/office/drawing/2014/main" id="{CD8862F3-3FE1-AE0C-FB10-78BA3F891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638175</xdr:colOff>
      <xdr:row>18</xdr:row>
      <xdr:rowOff>38099</xdr:rowOff>
    </xdr:from>
    <xdr:to>
      <xdr:col>8</xdr:col>
      <xdr:colOff>661719</xdr:colOff>
      <xdr:row>21</xdr:row>
      <xdr:rowOff>72389</xdr:rowOff>
    </xdr:to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DB98FF04-0817-4D53-BDAC-CF4E85D37842}"/>
            </a:ext>
          </a:extLst>
        </xdr:cNvPr>
        <xdr:cNvSpPr txBox="1"/>
      </xdr:nvSpPr>
      <xdr:spPr>
        <a:xfrm flipH="1">
          <a:off x="638175" y="3238499"/>
          <a:ext cx="5408344" cy="567690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lvl="0" algn="l" rtl="0"/>
          <a:r>
            <a:rPr lang="en-US" sz="1200"/>
            <a:t>-</a:t>
          </a:r>
          <a:r>
            <a:rPr lang="ar-SA" sz="1200" baseline="0"/>
            <a:t> </a:t>
          </a:r>
          <a:r>
            <a:rPr lang="en-US" sz="1200" baseline="0"/>
            <a:t> India's unemployment changes slightly over time, Saudi Arabia stays low and steady, while Sudan has the highest and most unstable levels.</a:t>
          </a:r>
          <a:endParaRPr lang="ar-SA" sz="1200"/>
        </a:p>
      </xdr:txBody>
    </xdr:sp>
    <xdr:clientData/>
  </xdr:twoCellAnchor>
  <xdr:twoCellAnchor>
    <xdr:from>
      <xdr:col>11</xdr:col>
      <xdr:colOff>466725</xdr:colOff>
      <xdr:row>18</xdr:row>
      <xdr:rowOff>9524</xdr:rowOff>
    </xdr:from>
    <xdr:to>
      <xdr:col>16</xdr:col>
      <xdr:colOff>652194</xdr:colOff>
      <xdr:row>21</xdr:row>
      <xdr:rowOff>43814</xdr:rowOff>
    </xdr:to>
    <xdr:sp macro="" textlink="">
      <xdr:nvSpPr>
        <xdr:cNvPr id="9" name="مربع نص 8">
          <a:extLst>
            <a:ext uri="{FF2B5EF4-FFF2-40B4-BE49-F238E27FC236}">
              <a16:creationId xmlns:a16="http://schemas.microsoft.com/office/drawing/2014/main" id="{DDCD6AB5-F1B4-414F-8D79-9AB1F973A6CD}"/>
            </a:ext>
          </a:extLst>
        </xdr:cNvPr>
        <xdr:cNvSpPr txBox="1"/>
      </xdr:nvSpPr>
      <xdr:spPr>
        <a:xfrm flipH="1">
          <a:off x="7870825" y="3209924"/>
          <a:ext cx="3550969" cy="567690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lvl="0" algn="l" rt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India's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leads in participation, Saudi Arabia follows closely, and Sudan remain the lowest among the three countries.</a:t>
          </a:r>
          <a:endParaRPr lang="ar-SA" sz="1200"/>
        </a:p>
      </xdr:txBody>
    </xdr:sp>
    <xdr:clientData/>
  </xdr:twoCellAnchor>
  <xdr:twoCellAnchor>
    <xdr:from>
      <xdr:col>0</xdr:col>
      <xdr:colOff>572860</xdr:colOff>
      <xdr:row>23</xdr:row>
      <xdr:rowOff>0</xdr:rowOff>
    </xdr:from>
    <xdr:to>
      <xdr:col>9</xdr:col>
      <xdr:colOff>20410</xdr:colOff>
      <xdr:row>48</xdr:row>
      <xdr:rowOff>0</xdr:rowOff>
    </xdr:to>
    <xdr:graphicFrame macro="">
      <xdr:nvGraphicFramePr>
        <xdr:cNvPr id="11" name="مخطط 2">
          <a:extLst>
            <a:ext uri="{FF2B5EF4-FFF2-40B4-BE49-F238E27FC236}">
              <a16:creationId xmlns:a16="http://schemas.microsoft.com/office/drawing/2014/main" id="{3B513E94-6963-46A7-9277-67CA03FCA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229144</xdr:colOff>
      <xdr:row>22</xdr:row>
      <xdr:rowOff>148317</xdr:rowOff>
    </xdr:from>
    <xdr:to>
      <xdr:col>17</xdr:col>
      <xdr:colOff>351064</xdr:colOff>
      <xdr:row>47</xdr:row>
      <xdr:rowOff>148317</xdr:rowOff>
    </xdr:to>
    <xdr:graphicFrame macro="">
      <xdr:nvGraphicFramePr>
        <xdr:cNvPr id="13" name="مخطط 2">
          <a:extLst>
            <a:ext uri="{FF2B5EF4-FFF2-40B4-BE49-F238E27FC236}">
              <a16:creationId xmlns:a16="http://schemas.microsoft.com/office/drawing/2014/main" id="{8613D3EC-736F-498F-8C85-A48C2B65A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532583</xdr:colOff>
      <xdr:row>22</xdr:row>
      <xdr:rowOff>146957</xdr:rowOff>
    </xdr:from>
    <xdr:to>
      <xdr:col>25</xdr:col>
      <xdr:colOff>654503</xdr:colOff>
      <xdr:row>47</xdr:row>
      <xdr:rowOff>146957</xdr:rowOff>
    </xdr:to>
    <xdr:graphicFrame macro="">
      <xdr:nvGraphicFramePr>
        <xdr:cNvPr id="15" name="مخطط 2">
          <a:extLst>
            <a:ext uri="{FF2B5EF4-FFF2-40B4-BE49-F238E27FC236}">
              <a16:creationId xmlns:a16="http://schemas.microsoft.com/office/drawing/2014/main" id="{27625288-60A5-41E0-8686-831E2A7DE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600075</xdr:colOff>
      <xdr:row>47</xdr:row>
      <xdr:rowOff>163829</xdr:rowOff>
    </xdr:from>
    <xdr:to>
      <xdr:col>8</xdr:col>
      <xdr:colOff>623619</xdr:colOff>
      <xdr:row>51</xdr:row>
      <xdr:rowOff>26669</xdr:rowOff>
    </xdr:to>
    <xdr:sp macro="" textlink="">
      <xdr:nvSpPr>
        <xdr:cNvPr id="17" name="مربع نص 16">
          <a:extLst>
            <a:ext uri="{FF2B5EF4-FFF2-40B4-BE49-F238E27FC236}">
              <a16:creationId xmlns:a16="http://schemas.microsoft.com/office/drawing/2014/main" id="{72B3650B-A81B-44AA-9FB3-4791524ABFB4}"/>
            </a:ext>
          </a:extLst>
        </xdr:cNvPr>
        <xdr:cNvSpPr txBox="1"/>
      </xdr:nvSpPr>
      <xdr:spPr>
        <a:xfrm flipH="1">
          <a:off x="600075" y="8520429"/>
          <a:ext cx="5408344" cy="574040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lvl="0" algn="l" rtl="0"/>
          <a:r>
            <a:rPr lang="en-US" sz="1200"/>
            <a:t>- As GDP grows,</a:t>
          </a:r>
          <a:r>
            <a:rPr lang="en-US" sz="1200" baseline="0"/>
            <a:t> unemployment slightly decreases, showing a stable and balanced labor market in Saudi Arabia.</a:t>
          </a:r>
          <a:endParaRPr lang="ar-SA" sz="1200"/>
        </a:p>
      </xdr:txBody>
    </xdr:sp>
    <xdr:clientData/>
  </xdr:twoCellAnchor>
  <xdr:twoCellAnchor>
    <xdr:from>
      <xdr:col>9</xdr:col>
      <xdr:colOff>266700</xdr:colOff>
      <xdr:row>47</xdr:row>
      <xdr:rowOff>158114</xdr:rowOff>
    </xdr:from>
    <xdr:to>
      <xdr:col>17</xdr:col>
      <xdr:colOff>290244</xdr:colOff>
      <xdr:row>51</xdr:row>
      <xdr:rowOff>20954</xdr:rowOff>
    </xdr:to>
    <xdr:sp macro="" textlink="">
      <xdr:nvSpPr>
        <xdr:cNvPr id="19" name="مربع نص 18">
          <a:extLst>
            <a:ext uri="{FF2B5EF4-FFF2-40B4-BE49-F238E27FC236}">
              <a16:creationId xmlns:a16="http://schemas.microsoft.com/office/drawing/2014/main" id="{96219BD1-162A-4AAA-A2F4-1253D43D7B19}"/>
            </a:ext>
          </a:extLst>
        </xdr:cNvPr>
        <xdr:cNvSpPr txBox="1"/>
      </xdr:nvSpPr>
      <xdr:spPr>
        <a:xfrm flipH="1">
          <a:off x="6324600" y="8514714"/>
          <a:ext cx="5408344" cy="574040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lvl="0" algn="l" rtl="0"/>
          <a:r>
            <a:rPr lang="en-US" sz="1200"/>
            <a:t>- Growth</a:t>
          </a:r>
          <a:r>
            <a:rPr lang="en-US" sz="1200" baseline="0"/>
            <a:t> </a:t>
          </a:r>
          <a:r>
            <a:rPr lang="en-US" sz="1200"/>
            <a:t>supports</a:t>
          </a:r>
          <a:r>
            <a:rPr lang="en-US" sz="1200" baseline="0"/>
            <a:t> job creation in India, but unemployment stays moderate because of rapid population growth.</a:t>
          </a:r>
          <a:endParaRPr lang="ar-SA" sz="1200"/>
        </a:p>
      </xdr:txBody>
    </xdr:sp>
    <xdr:clientData/>
  </xdr:twoCellAnchor>
  <xdr:twoCellAnchor>
    <xdr:from>
      <xdr:col>17</xdr:col>
      <xdr:colOff>609600</xdr:colOff>
      <xdr:row>47</xdr:row>
      <xdr:rowOff>120014</xdr:rowOff>
    </xdr:from>
    <xdr:to>
      <xdr:col>25</xdr:col>
      <xdr:colOff>633144</xdr:colOff>
      <xdr:row>50</xdr:row>
      <xdr:rowOff>154304</xdr:rowOff>
    </xdr:to>
    <xdr:sp macro="" textlink="">
      <xdr:nvSpPr>
        <xdr:cNvPr id="21" name="مربع نص 20">
          <a:extLst>
            <a:ext uri="{FF2B5EF4-FFF2-40B4-BE49-F238E27FC236}">
              <a16:creationId xmlns:a16="http://schemas.microsoft.com/office/drawing/2014/main" id="{D0A7867B-8D48-463D-A113-577EC70627A2}"/>
            </a:ext>
          </a:extLst>
        </xdr:cNvPr>
        <xdr:cNvSpPr txBox="1"/>
      </xdr:nvSpPr>
      <xdr:spPr>
        <a:xfrm flipH="1">
          <a:off x="12052300" y="8476614"/>
          <a:ext cx="5408344" cy="567690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lvl="0" algn="l" rtl="0"/>
          <a:r>
            <a:rPr lang="en-US" sz="1200"/>
            <a:t>- There is</a:t>
          </a:r>
          <a:r>
            <a:rPr lang="en-US" sz="1200" baseline="0"/>
            <a:t> almost no link between GDP growth and unemployment, reflecting instability and weak job </a:t>
          </a:r>
          <a:r>
            <a:rPr lang="en-US" sz="1200"/>
            <a:t> opportunities in Sudan.</a:t>
          </a:r>
          <a:endParaRPr lang="ar-SA" sz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960120</xdr:colOff>
      <xdr:row>11</xdr:row>
      <xdr:rowOff>7620</xdr:rowOff>
    </xdr:from>
    <xdr:to>
      <xdr:col>4</xdr:col>
      <xdr:colOff>1227504</xdr:colOff>
      <xdr:row>13</xdr:row>
      <xdr:rowOff>167640</xdr:rowOff>
    </xdr:to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EEA9A8F5-D8CB-48C4-B307-98AE9FDDD24C}"/>
            </a:ext>
          </a:extLst>
        </xdr:cNvPr>
        <xdr:cNvSpPr txBox="1"/>
      </xdr:nvSpPr>
      <xdr:spPr>
        <a:xfrm flipH="1">
          <a:off x="960120" y="3086100"/>
          <a:ext cx="5357544" cy="510540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lvl="0" algn="l" rtl="0"/>
          <a:r>
            <a:rPr lang="en-US" sz="1200"/>
            <a:t>- These finding</a:t>
          </a:r>
          <a:r>
            <a:rPr lang="en-US" sz="1200" baseline="0"/>
            <a:t>s underline significant structural and policy differences shaping labor market outcomes across the three countries.</a:t>
          </a:r>
          <a:endParaRPr lang="ar-SA" sz="12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3BA5B-8EC7-4ACB-A901-F1286A3A0CDD}" name="الجدول1" displayName="الجدول1" ref="C15:F18" headerRowCount="0" totalsRowShown="0">
  <tableColumns count="4">
    <tableColumn id="1" xr3:uid="{FFE125D3-4C19-4E10-8EFC-526E20ED46BF}" name="عمود1" dataDxfId="2"/>
    <tableColumn id="2" xr3:uid="{AEAE6878-2137-4267-8657-A9FA9191F9D6}" name="عمود2" dataDxfId="1"/>
    <tableColumn id="3" xr3:uid="{CBED2E30-B260-4EBE-871B-CEB1D7E06913}" name="عمود3"/>
    <tableColumn id="4" xr3:uid="{C39F0020-9E21-4E90-AF87-9DBBA548D7DD}" name="عمود4" dataDxfId="0"/>
  </tableColumns>
  <tableStyleInfo name="نمط الجدول 1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94B9-2AA0-415C-9EA8-6E778A86A4F3}">
  <dimension ref="A1:AC14"/>
  <sheetViews>
    <sheetView tabSelected="1" topLeftCell="J1" zoomScaleNormal="100" workbookViewId="0">
      <selection activeCell="V17" sqref="V17"/>
    </sheetView>
  </sheetViews>
  <sheetFormatPr defaultRowHeight="13.8" x14ac:dyDescent="0.25"/>
  <cols>
    <col min="1" max="1" width="12.69921875" customWidth="1"/>
    <col min="2" max="2" width="24.69921875" customWidth="1"/>
    <col min="3" max="11" width="9.796875" bestFit="1" customWidth="1"/>
    <col min="12" max="20" width="8.8984375" bestFit="1" customWidth="1"/>
    <col min="21" max="27" width="9.796875" bestFit="1" customWidth="1"/>
  </cols>
  <sheetData>
    <row r="1" spans="1:29" ht="15.6" x14ac:dyDescent="0.3">
      <c r="A1" s="2" t="s">
        <v>1</v>
      </c>
      <c r="B1" s="2" t="s">
        <v>0</v>
      </c>
      <c r="C1" s="2">
        <v>2000</v>
      </c>
      <c r="D1" s="2">
        <v>2001</v>
      </c>
      <c r="E1" s="2">
        <v>2002</v>
      </c>
      <c r="F1" s="2">
        <v>2003</v>
      </c>
      <c r="G1" s="2">
        <v>2004</v>
      </c>
      <c r="H1" s="2">
        <v>2005</v>
      </c>
      <c r="I1" s="2">
        <v>2006</v>
      </c>
      <c r="J1" s="2">
        <v>2007</v>
      </c>
      <c r="K1" s="2">
        <v>2008</v>
      </c>
      <c r="L1" s="2">
        <v>2009</v>
      </c>
      <c r="M1" s="2">
        <v>2010</v>
      </c>
      <c r="N1" s="2">
        <v>2011</v>
      </c>
      <c r="O1" s="2">
        <v>2012</v>
      </c>
      <c r="P1" s="2">
        <v>2013</v>
      </c>
      <c r="Q1" s="2">
        <v>2014</v>
      </c>
      <c r="R1" s="2">
        <v>2015</v>
      </c>
      <c r="S1" s="2">
        <v>2016</v>
      </c>
      <c r="T1" s="2">
        <v>2017</v>
      </c>
      <c r="U1" s="2">
        <v>2018</v>
      </c>
      <c r="V1" s="2">
        <v>2019</v>
      </c>
      <c r="W1" s="2">
        <v>2020</v>
      </c>
      <c r="X1" s="2">
        <v>2021</v>
      </c>
      <c r="Y1" s="2">
        <v>2022</v>
      </c>
      <c r="Z1" s="2">
        <v>2023</v>
      </c>
      <c r="AA1" s="2">
        <v>2024</v>
      </c>
      <c r="AB1" s="2"/>
    </row>
    <row r="2" spans="1:29" x14ac:dyDescent="0.25">
      <c r="A2" s="1" t="s">
        <v>2</v>
      </c>
      <c r="B2" s="1" t="s">
        <v>7</v>
      </c>
      <c r="C2" s="22">
        <v>4.7181342213802395</v>
      </c>
      <c r="D2" s="22">
        <v>0.34459319617543827</v>
      </c>
      <c r="E2" s="22">
        <v>-0.68839013031775664</v>
      </c>
      <c r="F2" s="22">
        <v>8.7687338174396388</v>
      </c>
      <c r="G2" s="22">
        <v>8.631005458803088</v>
      </c>
      <c r="H2" s="22">
        <v>5.9448962393483527</v>
      </c>
      <c r="I2" s="22">
        <v>3.3134847362590136</v>
      </c>
      <c r="J2" s="22">
        <v>2.2136539637252781</v>
      </c>
      <c r="K2" s="22">
        <v>6.237987536545802</v>
      </c>
      <c r="L2" s="22">
        <v>-1.0667171124020314</v>
      </c>
      <c r="M2" s="22">
        <v>5.0395150823516985</v>
      </c>
      <c r="N2" s="22">
        <v>11.75885680520048</v>
      </c>
      <c r="O2" s="22">
        <v>5.7615073241280186</v>
      </c>
      <c r="P2" s="22">
        <v>2.9456999070129655</v>
      </c>
      <c r="Q2" s="22">
        <v>4.0246407058452718</v>
      </c>
      <c r="R2" s="22">
        <v>4.655123166526991</v>
      </c>
      <c r="S2" s="22">
        <v>1.7040746576595609</v>
      </c>
      <c r="T2" s="22">
        <v>1.1820799330852623</v>
      </c>
      <c r="U2" s="22">
        <v>3.2269508901591024</v>
      </c>
      <c r="V2" s="22">
        <v>1.6515635888557654</v>
      </c>
      <c r="W2" s="22">
        <v>-3.8047647303899907</v>
      </c>
      <c r="X2" s="22">
        <v>6.5195969832541891</v>
      </c>
      <c r="Y2" s="22">
        <v>12.000587475292889</v>
      </c>
      <c r="Z2" s="22">
        <v>0.54259243939316093</v>
      </c>
      <c r="AA2" s="22">
        <v>1.8079551514729815</v>
      </c>
    </row>
    <row r="3" spans="1:29" x14ac:dyDescent="0.25">
      <c r="A3" s="1" t="s">
        <v>2</v>
      </c>
      <c r="B3" s="1" t="s">
        <v>5</v>
      </c>
      <c r="C3" s="22">
        <v>4.57</v>
      </c>
      <c r="D3" s="22">
        <v>4.6180000000000003</v>
      </c>
      <c r="E3" s="22">
        <v>5.2649999999999997</v>
      </c>
      <c r="F3" s="22">
        <v>5.5629999999999997</v>
      </c>
      <c r="G3" s="22">
        <v>5.8220000000000001</v>
      </c>
      <c r="H3" s="22">
        <v>6.0510000000000002</v>
      </c>
      <c r="I3" s="22">
        <v>6.2539999999999996</v>
      </c>
      <c r="J3" s="22">
        <v>5.734</v>
      </c>
      <c r="K3" s="22">
        <v>5.085</v>
      </c>
      <c r="L3" s="22">
        <v>5.3769999999999998</v>
      </c>
      <c r="M3" s="22">
        <v>5.55</v>
      </c>
      <c r="N3" s="22">
        <v>5.77</v>
      </c>
      <c r="O3" s="22">
        <v>5.6219999999999999</v>
      </c>
      <c r="P3" s="22">
        <v>5.6</v>
      </c>
      <c r="Q3" s="22">
        <v>5.8769999999999998</v>
      </c>
      <c r="R3" s="22">
        <v>5.6</v>
      </c>
      <c r="S3" s="22">
        <v>5.6</v>
      </c>
      <c r="T3" s="22">
        <v>5.89</v>
      </c>
      <c r="U3" s="22">
        <v>6.0289999999999999</v>
      </c>
      <c r="V3" s="22">
        <v>5.6360000000000001</v>
      </c>
      <c r="W3" s="22">
        <v>7.66</v>
      </c>
      <c r="X3" s="22">
        <v>6.6210000000000004</v>
      </c>
      <c r="Y3" s="22">
        <v>5.5890000000000004</v>
      </c>
      <c r="Z3" s="22">
        <v>4.008</v>
      </c>
      <c r="AA3" s="22">
        <v>3.8959999999999999</v>
      </c>
    </row>
    <row r="4" spans="1:29" x14ac:dyDescent="0.25">
      <c r="A4" s="1" t="s">
        <v>2</v>
      </c>
      <c r="B4" s="1" t="s">
        <v>6</v>
      </c>
      <c r="C4" s="22">
        <v>49.970999999999997</v>
      </c>
      <c r="D4" s="22">
        <v>49.347000000000001</v>
      </c>
      <c r="E4" s="22">
        <v>49.018000000000001</v>
      </c>
      <c r="F4" s="22">
        <v>48.966000000000001</v>
      </c>
      <c r="G4" s="22">
        <v>49.023000000000003</v>
      </c>
      <c r="H4" s="22">
        <v>49.206000000000003</v>
      </c>
      <c r="I4" s="22">
        <v>49.533999999999999</v>
      </c>
      <c r="J4" s="22">
        <v>49.777000000000001</v>
      </c>
      <c r="K4" s="22">
        <v>50.35</v>
      </c>
      <c r="L4" s="22">
        <v>50.798000000000002</v>
      </c>
      <c r="M4" s="22">
        <v>52.646999999999998</v>
      </c>
      <c r="N4" s="22">
        <v>54.591999999999999</v>
      </c>
      <c r="O4" s="22">
        <v>56.543999999999997</v>
      </c>
      <c r="P4" s="22">
        <v>58.378</v>
      </c>
      <c r="Q4" s="22">
        <v>59.725999999999999</v>
      </c>
      <c r="R4" s="22">
        <v>61.054000000000002</v>
      </c>
      <c r="S4" s="22">
        <v>62.057000000000002</v>
      </c>
      <c r="T4" s="22">
        <v>60.389000000000003</v>
      </c>
      <c r="U4" s="22">
        <v>60.912999999999997</v>
      </c>
      <c r="V4" s="22">
        <v>62.567999999999998</v>
      </c>
      <c r="W4" s="22">
        <v>63.823</v>
      </c>
      <c r="X4" s="22">
        <v>64.900000000000006</v>
      </c>
      <c r="Y4" s="22">
        <v>65.197999999999993</v>
      </c>
      <c r="Z4" s="22">
        <v>65.233999999999995</v>
      </c>
      <c r="AA4" s="22">
        <v>65.268000000000001</v>
      </c>
    </row>
    <row r="5" spans="1:29" x14ac:dyDescent="0.25">
      <c r="A5" s="1" t="s">
        <v>3</v>
      </c>
      <c r="B5" s="1" t="s">
        <v>7</v>
      </c>
      <c r="C5" s="22">
        <v>3.8409911565912864</v>
      </c>
      <c r="D5" s="22">
        <v>4.8239662655577149</v>
      </c>
      <c r="E5" s="22">
        <v>3.8039753211217544</v>
      </c>
      <c r="F5" s="22">
        <v>7.8603814759073032</v>
      </c>
      <c r="G5" s="22">
        <v>7.9229366119993188</v>
      </c>
      <c r="H5" s="22">
        <v>7.9234306214831776</v>
      </c>
      <c r="I5" s="22">
        <v>8.0607325716665059</v>
      </c>
      <c r="J5" s="22">
        <v>7.6608150670107023</v>
      </c>
      <c r="K5" s="22">
        <v>3.0866980592198132</v>
      </c>
      <c r="L5" s="22">
        <v>7.8618888328607426</v>
      </c>
      <c r="M5" s="22">
        <v>8.4975847022123503</v>
      </c>
      <c r="N5" s="22">
        <v>5.2413161993769535</v>
      </c>
      <c r="O5" s="22">
        <v>5.4563875516658698</v>
      </c>
      <c r="P5" s="22">
        <v>6.3861064009482504</v>
      </c>
      <c r="Q5" s="22">
        <v>7.4102276050885365</v>
      </c>
      <c r="R5" s="22">
        <v>7.996253785714714</v>
      </c>
      <c r="S5" s="22">
        <v>8.2563055017908624</v>
      </c>
      <c r="T5" s="22">
        <v>6.7953834189791138</v>
      </c>
      <c r="U5" s="22">
        <v>6.4538513449776929</v>
      </c>
      <c r="V5" s="22">
        <v>3.8714369407035605</v>
      </c>
      <c r="W5" s="22">
        <v>-5.7777247068680104</v>
      </c>
      <c r="X5" s="22">
        <v>9.6895924919287495</v>
      </c>
      <c r="Y5" s="22">
        <v>7.6093649776889549</v>
      </c>
      <c r="Z5" s="22">
        <v>9.1907549302834468</v>
      </c>
      <c r="AA5" s="22">
        <v>6.4842236303375671</v>
      </c>
    </row>
    <row r="6" spans="1:29" x14ac:dyDescent="0.25">
      <c r="A6" s="1" t="s">
        <v>3</v>
      </c>
      <c r="B6" s="1" t="s">
        <v>5</v>
      </c>
      <c r="C6" s="22">
        <v>7.6239999999999997</v>
      </c>
      <c r="D6" s="22">
        <v>7.6529999999999996</v>
      </c>
      <c r="E6" s="22">
        <v>7.7530000000000001</v>
      </c>
      <c r="F6" s="22">
        <v>7.68</v>
      </c>
      <c r="G6" s="22">
        <v>7.625</v>
      </c>
      <c r="H6" s="22">
        <v>7.5519999999999996</v>
      </c>
      <c r="I6" s="22">
        <v>7.5519999999999996</v>
      </c>
      <c r="J6" s="22">
        <v>7.5609999999999999</v>
      </c>
      <c r="K6" s="22">
        <v>7.6559999999999997</v>
      </c>
      <c r="L6" s="22">
        <v>7.6639999999999997</v>
      </c>
      <c r="M6" s="22">
        <v>7.6520000000000001</v>
      </c>
      <c r="N6" s="22">
        <v>7.6159999999999997</v>
      </c>
      <c r="O6" s="22">
        <v>7.6660000000000004</v>
      </c>
      <c r="P6" s="22">
        <v>7.7110000000000003</v>
      </c>
      <c r="Q6" s="22">
        <v>7.6740000000000004</v>
      </c>
      <c r="R6" s="22">
        <v>7.6310000000000002</v>
      </c>
      <c r="S6" s="22">
        <v>7.601</v>
      </c>
      <c r="T6" s="22">
        <v>7.6180000000000003</v>
      </c>
      <c r="U6" s="22">
        <v>7.6520000000000001</v>
      </c>
      <c r="V6" s="22">
        <v>6.51</v>
      </c>
      <c r="W6" s="22">
        <v>7.859</v>
      </c>
      <c r="X6" s="22">
        <v>6.38</v>
      </c>
      <c r="Y6" s="22">
        <v>4.8220000000000001</v>
      </c>
      <c r="Z6" s="22">
        <v>4.1719999999999997</v>
      </c>
      <c r="AA6" s="22">
        <v>4.202</v>
      </c>
    </row>
    <row r="7" spans="1:29" x14ac:dyDescent="0.25">
      <c r="A7" s="1" t="s">
        <v>3</v>
      </c>
      <c r="B7" s="1" t="s">
        <v>6</v>
      </c>
      <c r="C7" s="22">
        <v>62.401000000000003</v>
      </c>
      <c r="D7" s="22">
        <v>62.253</v>
      </c>
      <c r="E7" s="22">
        <v>62.103999999999999</v>
      </c>
      <c r="F7" s="22">
        <v>61.954999999999998</v>
      </c>
      <c r="G7" s="22">
        <v>61.8</v>
      </c>
      <c r="H7" s="22">
        <v>61.646000000000001</v>
      </c>
      <c r="I7" s="22">
        <v>60.664000000000001</v>
      </c>
      <c r="J7" s="22">
        <v>59.7</v>
      </c>
      <c r="K7" s="22">
        <v>58.759</v>
      </c>
      <c r="L7" s="22">
        <v>57.843000000000004</v>
      </c>
      <c r="M7" s="22">
        <v>56.953000000000003</v>
      </c>
      <c r="N7" s="22">
        <v>56.314</v>
      </c>
      <c r="O7" s="22">
        <v>55.692999999999998</v>
      </c>
      <c r="P7" s="22">
        <v>55.616</v>
      </c>
      <c r="Q7" s="22">
        <v>55.530999999999999</v>
      </c>
      <c r="R7" s="22">
        <v>55.436</v>
      </c>
      <c r="S7" s="22">
        <v>55.338999999999999</v>
      </c>
      <c r="T7" s="22">
        <v>55.241999999999997</v>
      </c>
      <c r="U7" s="22">
        <v>55.139000000000003</v>
      </c>
      <c r="V7" s="22">
        <v>55.03</v>
      </c>
      <c r="W7" s="22">
        <v>54.374000000000002</v>
      </c>
      <c r="X7" s="22">
        <v>55.481000000000002</v>
      </c>
      <c r="Y7" s="22">
        <v>56.664000000000001</v>
      </c>
      <c r="Z7" s="22">
        <v>57.921999999999997</v>
      </c>
      <c r="AA7" s="22">
        <v>58.987000000000002</v>
      </c>
    </row>
    <row r="8" spans="1:29" x14ac:dyDescent="0.25">
      <c r="A8" s="1" t="s">
        <v>4</v>
      </c>
      <c r="B8" s="1" t="s">
        <v>7</v>
      </c>
      <c r="C8" s="22">
        <v>6.34586743997545</v>
      </c>
      <c r="D8" s="22">
        <v>6.5003605339688306</v>
      </c>
      <c r="E8" s="22">
        <v>6.0064715363131995</v>
      </c>
      <c r="F8" s="22">
        <v>6.2888081614651554</v>
      </c>
      <c r="G8" s="22">
        <v>5.1408885176267489</v>
      </c>
      <c r="H8" s="22">
        <v>5.6435155134363129</v>
      </c>
      <c r="I8" s="22">
        <v>6.5314117467791988</v>
      </c>
      <c r="J8" s="22">
        <v>5.735274236644841</v>
      </c>
      <c r="K8" s="22">
        <v>3.8467447312105776</v>
      </c>
      <c r="L8" s="22">
        <v>-2.7677043659913778</v>
      </c>
      <c r="M8" s="22">
        <v>3.8582419523010714</v>
      </c>
      <c r="N8" s="22">
        <v>-3.2135320925337112</v>
      </c>
      <c r="O8" s="22">
        <v>-17.004688404894466</v>
      </c>
      <c r="P8" s="22">
        <v>1.9551446330242186</v>
      </c>
      <c r="Q8" s="22">
        <v>4.6613795422987323</v>
      </c>
      <c r="R8" s="22">
        <v>1.9101768905275094</v>
      </c>
      <c r="S8" s="22">
        <v>3.4676421840928811</v>
      </c>
      <c r="T8" s="22">
        <v>0.70925628476643965</v>
      </c>
      <c r="U8" s="22">
        <v>-2.6809305497998963</v>
      </c>
      <c r="V8" s="22">
        <v>-2.178251045300911</v>
      </c>
      <c r="W8" s="22">
        <v>-3.6298008241075195</v>
      </c>
      <c r="X8" s="22">
        <v>-1.8685204827206974</v>
      </c>
      <c r="Y8" s="37">
        <v>-3.78</v>
      </c>
      <c r="Z8" s="37">
        <v>-4.25</v>
      </c>
      <c r="AA8" s="37">
        <v>-4.71</v>
      </c>
    </row>
    <row r="9" spans="1:29" x14ac:dyDescent="0.25">
      <c r="A9" s="1" t="s">
        <v>4</v>
      </c>
      <c r="B9" s="1" t="s">
        <v>5</v>
      </c>
      <c r="C9" s="22">
        <v>15.608000000000001</v>
      </c>
      <c r="D9" s="22">
        <v>15.568</v>
      </c>
      <c r="E9" s="22">
        <v>15.513999999999999</v>
      </c>
      <c r="F9" s="22">
        <v>15.515000000000001</v>
      </c>
      <c r="G9" s="22">
        <v>15.539</v>
      </c>
      <c r="H9" s="22">
        <v>15.545999999999999</v>
      </c>
      <c r="I9" s="22">
        <v>15.542</v>
      </c>
      <c r="J9" s="22">
        <v>15.531000000000001</v>
      </c>
      <c r="K9" s="22">
        <v>15.566000000000001</v>
      </c>
      <c r="L9" s="22">
        <v>13</v>
      </c>
      <c r="M9" s="22">
        <v>15.161</v>
      </c>
      <c r="N9" s="22">
        <v>17.440000000000001</v>
      </c>
      <c r="O9" s="22">
        <v>17.001999999999999</v>
      </c>
      <c r="P9" s="22">
        <v>16.3</v>
      </c>
      <c r="Q9" s="22">
        <v>15.411</v>
      </c>
      <c r="R9" s="22">
        <v>14.347</v>
      </c>
      <c r="S9" s="22">
        <v>13.606</v>
      </c>
      <c r="T9" s="22">
        <v>12.952999999999999</v>
      </c>
      <c r="U9" s="22">
        <v>12.303000000000001</v>
      </c>
      <c r="V9" s="22">
        <v>11.657999999999999</v>
      </c>
      <c r="W9" s="22">
        <v>11.958</v>
      </c>
      <c r="X9" s="22">
        <v>11.044</v>
      </c>
      <c r="Y9" s="22">
        <v>7.53</v>
      </c>
      <c r="Z9" s="22">
        <v>5.7729999999999997</v>
      </c>
      <c r="AA9" s="22">
        <v>4.8944999999999999</v>
      </c>
    </row>
    <row r="10" spans="1:29" x14ac:dyDescent="0.25">
      <c r="A10" s="1" t="s">
        <v>4</v>
      </c>
      <c r="B10" s="1" t="s">
        <v>6</v>
      </c>
      <c r="C10" s="22">
        <v>51.576000000000001</v>
      </c>
      <c r="D10" s="22">
        <v>51.304000000000002</v>
      </c>
      <c r="E10" s="22">
        <v>51.027000000000001</v>
      </c>
      <c r="F10" s="22">
        <v>50.756</v>
      </c>
      <c r="G10" s="22">
        <v>50.473999999999997</v>
      </c>
      <c r="H10" s="22">
        <v>50.176000000000002</v>
      </c>
      <c r="I10" s="22">
        <v>49.887999999999998</v>
      </c>
      <c r="J10" s="22">
        <v>49.593000000000004</v>
      </c>
      <c r="K10" s="22">
        <v>49.25</v>
      </c>
      <c r="L10" s="22">
        <v>49.337000000000003</v>
      </c>
      <c r="M10" s="22">
        <v>49.426000000000002</v>
      </c>
      <c r="N10" s="22">
        <v>49.514000000000003</v>
      </c>
      <c r="O10" s="22">
        <v>48.56</v>
      </c>
      <c r="P10" s="22">
        <v>47.484999999999999</v>
      </c>
      <c r="Q10" s="22">
        <v>46.332999999999998</v>
      </c>
      <c r="R10" s="22">
        <v>45.192</v>
      </c>
      <c r="S10" s="22">
        <v>44.052999999999997</v>
      </c>
      <c r="T10" s="22">
        <v>42.923000000000002</v>
      </c>
      <c r="U10" s="22">
        <v>41.862000000000002</v>
      </c>
      <c r="V10" s="22">
        <v>40.878</v>
      </c>
      <c r="W10" s="22">
        <v>39.591999999999999</v>
      </c>
      <c r="X10" s="22">
        <v>38.595999999999997</v>
      </c>
      <c r="Y10" s="22">
        <v>37.917000000000002</v>
      </c>
      <c r="Z10" s="22">
        <v>37.577500000000001</v>
      </c>
      <c r="AA10" s="22">
        <v>37.40775</v>
      </c>
    </row>
    <row r="12" spans="1:29" ht="15.6" customHeight="1" x14ac:dyDescent="0.25">
      <c r="Q12" s="1"/>
      <c r="R12" s="43" t="s">
        <v>77</v>
      </c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</row>
    <row r="13" spans="1:29" x14ac:dyDescent="0.25">
      <c r="X13" s="3"/>
    </row>
    <row r="14" spans="1:29" x14ac:dyDescent="0.25">
      <c r="X14" s="3"/>
      <c r="Y14" s="3"/>
      <c r="Z14" s="3"/>
      <c r="AA14" s="3"/>
    </row>
  </sheetData>
  <mergeCells count="1">
    <mergeCell ref="R12:AC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D30A5-3F46-46C6-8719-C4C1C645D052}">
  <dimension ref="A1:AB37"/>
  <sheetViews>
    <sheetView zoomScaleNormal="100" workbookViewId="0">
      <selection activeCell="J23" sqref="J23"/>
    </sheetView>
  </sheetViews>
  <sheetFormatPr defaultRowHeight="13.8" x14ac:dyDescent="0.25"/>
  <cols>
    <col min="1" max="1" width="12.69921875" customWidth="1"/>
    <col min="2" max="2" width="24.69921875" customWidth="1"/>
    <col min="3" max="11" width="9.796875" bestFit="1" customWidth="1"/>
    <col min="12" max="20" width="8.8984375" bestFit="1" customWidth="1"/>
    <col min="21" max="27" width="9.796875" bestFit="1" customWidth="1"/>
  </cols>
  <sheetData>
    <row r="1" spans="1:28" ht="15.6" x14ac:dyDescent="0.3">
      <c r="A1" s="2" t="s">
        <v>1</v>
      </c>
      <c r="B1" s="2" t="s">
        <v>0</v>
      </c>
      <c r="C1" s="2">
        <v>2000</v>
      </c>
      <c r="D1" s="2">
        <v>2001</v>
      </c>
      <c r="E1" s="2">
        <v>2002</v>
      </c>
      <c r="F1" s="2">
        <v>2003</v>
      </c>
      <c r="G1" s="2">
        <v>2004</v>
      </c>
      <c r="H1" s="2">
        <v>2005</v>
      </c>
      <c r="I1" s="2">
        <v>2006</v>
      </c>
      <c r="J1" s="2">
        <v>2007</v>
      </c>
      <c r="K1" s="2">
        <v>2008</v>
      </c>
      <c r="L1" s="2">
        <v>2009</v>
      </c>
      <c r="M1" s="2">
        <v>2010</v>
      </c>
      <c r="N1" s="2">
        <v>2011</v>
      </c>
      <c r="O1" s="2">
        <v>2012</v>
      </c>
      <c r="P1" s="2">
        <v>2013</v>
      </c>
      <c r="Q1" s="2">
        <v>2014</v>
      </c>
      <c r="R1" s="2">
        <v>2015</v>
      </c>
      <c r="S1" s="2">
        <v>2016</v>
      </c>
      <c r="T1" s="2">
        <v>2017</v>
      </c>
      <c r="U1" s="2">
        <v>2018</v>
      </c>
      <c r="V1" s="2">
        <v>2019</v>
      </c>
      <c r="W1" s="2">
        <v>2020</v>
      </c>
      <c r="X1" s="2">
        <v>2021</v>
      </c>
      <c r="Y1" s="2">
        <v>2022</v>
      </c>
      <c r="Z1" s="2">
        <v>2023</v>
      </c>
      <c r="AA1" s="2">
        <v>2024</v>
      </c>
      <c r="AB1" s="2"/>
    </row>
    <row r="2" spans="1:28" x14ac:dyDescent="0.25">
      <c r="A2" s="1" t="s">
        <v>2</v>
      </c>
      <c r="B2" s="1" t="s">
        <v>7</v>
      </c>
      <c r="C2" s="22">
        <v>4.7181342213802395</v>
      </c>
      <c r="D2" s="22">
        <v>0.34459319617543827</v>
      </c>
      <c r="E2" s="22">
        <v>-0.68839013031775664</v>
      </c>
      <c r="F2" s="22">
        <v>8.7687338174396388</v>
      </c>
      <c r="G2" s="22">
        <v>8.631005458803088</v>
      </c>
      <c r="H2" s="22">
        <v>5.9448962393483527</v>
      </c>
      <c r="I2" s="22">
        <v>3.3134847362590136</v>
      </c>
      <c r="J2" s="22">
        <v>2.2136539637252781</v>
      </c>
      <c r="K2" s="22">
        <v>6.237987536545802</v>
      </c>
      <c r="L2" s="22">
        <v>-1.0667171124020314</v>
      </c>
      <c r="M2" s="22">
        <v>5.0395150823516985</v>
      </c>
      <c r="N2" s="22">
        <v>11.75885680520048</v>
      </c>
      <c r="O2" s="22">
        <v>5.7615073241280186</v>
      </c>
      <c r="P2" s="22">
        <v>2.9456999070129655</v>
      </c>
      <c r="Q2" s="22">
        <v>4.0246407058452718</v>
      </c>
      <c r="R2" s="22">
        <v>4.655123166526991</v>
      </c>
      <c r="S2" s="22">
        <v>1.7040746576595609</v>
      </c>
      <c r="T2" s="22">
        <v>1.1820799330852623</v>
      </c>
      <c r="U2" s="22">
        <v>3.2269508901591024</v>
      </c>
      <c r="V2" s="22">
        <v>1.6515635888557654</v>
      </c>
      <c r="W2" s="22">
        <v>-3.8047647303899907</v>
      </c>
      <c r="X2" s="22">
        <v>6.5195969832541891</v>
      </c>
      <c r="Y2" s="22">
        <v>12.000587475292889</v>
      </c>
      <c r="Z2" s="22">
        <v>0.54259243939316093</v>
      </c>
      <c r="AA2" s="22">
        <v>1.8079551514729815</v>
      </c>
    </row>
    <row r="3" spans="1:28" x14ac:dyDescent="0.25">
      <c r="A3" s="1" t="s">
        <v>2</v>
      </c>
      <c r="B3" s="1" t="s">
        <v>5</v>
      </c>
      <c r="C3" s="22">
        <v>4.57</v>
      </c>
      <c r="D3" s="22">
        <v>4.6180000000000003</v>
      </c>
      <c r="E3" s="22">
        <v>5.2649999999999997</v>
      </c>
      <c r="F3" s="22">
        <v>5.5629999999999997</v>
      </c>
      <c r="G3" s="22">
        <v>5.8220000000000001</v>
      </c>
      <c r="H3" s="22">
        <v>6.0510000000000002</v>
      </c>
      <c r="I3" s="22">
        <v>6.2539999999999996</v>
      </c>
      <c r="J3" s="22">
        <v>5.734</v>
      </c>
      <c r="K3" s="22">
        <v>5.085</v>
      </c>
      <c r="L3" s="22">
        <v>5.3769999999999998</v>
      </c>
      <c r="M3" s="22">
        <v>5.55</v>
      </c>
      <c r="N3" s="22">
        <v>5.77</v>
      </c>
      <c r="O3" s="22">
        <v>5.6219999999999999</v>
      </c>
      <c r="P3" s="22">
        <v>5.6</v>
      </c>
      <c r="Q3" s="22">
        <v>5.8769999999999998</v>
      </c>
      <c r="R3" s="22">
        <v>5.6</v>
      </c>
      <c r="S3" s="22">
        <v>5.6</v>
      </c>
      <c r="T3" s="22">
        <v>5.89</v>
      </c>
      <c r="U3" s="22">
        <v>6.0289999999999999</v>
      </c>
      <c r="V3" s="22">
        <v>5.6360000000000001</v>
      </c>
      <c r="W3" s="22">
        <v>7.66</v>
      </c>
      <c r="X3" s="22">
        <v>6.6210000000000004</v>
      </c>
      <c r="Y3" s="22">
        <v>5.5890000000000004</v>
      </c>
      <c r="Z3" s="22">
        <v>4.008</v>
      </c>
      <c r="AA3" s="22">
        <v>3.8959999999999999</v>
      </c>
    </row>
    <row r="4" spans="1:28" x14ac:dyDescent="0.25">
      <c r="A4" s="1" t="s">
        <v>2</v>
      </c>
      <c r="B4" s="1" t="s">
        <v>6</v>
      </c>
      <c r="C4" s="22">
        <v>49.970999999999997</v>
      </c>
      <c r="D4" s="22">
        <v>49.347000000000001</v>
      </c>
      <c r="E4" s="22">
        <v>49.018000000000001</v>
      </c>
      <c r="F4" s="22">
        <v>48.966000000000001</v>
      </c>
      <c r="G4" s="22">
        <v>49.023000000000003</v>
      </c>
      <c r="H4" s="22">
        <v>49.206000000000003</v>
      </c>
      <c r="I4" s="22">
        <v>49.533999999999999</v>
      </c>
      <c r="J4" s="22">
        <v>49.777000000000001</v>
      </c>
      <c r="K4" s="22">
        <v>50.35</v>
      </c>
      <c r="L4" s="22">
        <v>50.798000000000002</v>
      </c>
      <c r="M4" s="22">
        <v>52.646999999999998</v>
      </c>
      <c r="N4" s="22">
        <v>54.591999999999999</v>
      </c>
      <c r="O4" s="22">
        <v>56.543999999999997</v>
      </c>
      <c r="P4" s="22">
        <v>58.378</v>
      </c>
      <c r="Q4" s="22">
        <v>59.725999999999999</v>
      </c>
      <c r="R4" s="22">
        <v>61.054000000000002</v>
      </c>
      <c r="S4" s="22">
        <v>62.057000000000002</v>
      </c>
      <c r="T4" s="22">
        <v>60.389000000000003</v>
      </c>
      <c r="U4" s="22">
        <v>60.912999999999997</v>
      </c>
      <c r="V4" s="22">
        <v>62.567999999999998</v>
      </c>
      <c r="W4" s="22">
        <v>63.823</v>
      </c>
      <c r="X4" s="22">
        <v>64.900000000000006</v>
      </c>
      <c r="Y4" s="22">
        <v>65.197999999999993</v>
      </c>
      <c r="Z4" s="22">
        <v>65.233999999999995</v>
      </c>
      <c r="AA4" s="22">
        <v>65.268000000000001</v>
      </c>
    </row>
    <row r="5" spans="1:28" x14ac:dyDescent="0.25">
      <c r="A5" s="1" t="s">
        <v>3</v>
      </c>
      <c r="B5" s="1" t="s">
        <v>7</v>
      </c>
      <c r="C5" s="22">
        <v>3.8409911565912864</v>
      </c>
      <c r="D5" s="22">
        <v>4.8239662655577149</v>
      </c>
      <c r="E5" s="22">
        <v>3.8039753211217544</v>
      </c>
      <c r="F5" s="22">
        <v>7.8603814759073032</v>
      </c>
      <c r="G5" s="22">
        <v>7.9229366119993188</v>
      </c>
      <c r="H5" s="22">
        <v>7.9234306214831776</v>
      </c>
      <c r="I5" s="22">
        <v>8.0607325716665059</v>
      </c>
      <c r="J5" s="22">
        <v>7.6608150670107023</v>
      </c>
      <c r="K5" s="22">
        <v>3.0866980592198132</v>
      </c>
      <c r="L5" s="22">
        <v>7.8618888328607426</v>
      </c>
      <c r="M5" s="22">
        <v>8.4975847022123503</v>
      </c>
      <c r="N5" s="22">
        <v>5.2413161993769535</v>
      </c>
      <c r="O5" s="22">
        <v>5.4563875516658698</v>
      </c>
      <c r="P5" s="22">
        <v>6.3861064009482504</v>
      </c>
      <c r="Q5" s="22">
        <v>7.4102276050885365</v>
      </c>
      <c r="R5" s="22">
        <v>7.996253785714714</v>
      </c>
      <c r="S5" s="22">
        <v>8.2563055017908624</v>
      </c>
      <c r="T5" s="22">
        <v>6.7953834189791138</v>
      </c>
      <c r="U5" s="22">
        <v>6.4538513449776929</v>
      </c>
      <c r="V5" s="22">
        <v>3.8714369407035605</v>
      </c>
      <c r="W5" s="22">
        <v>-5.7777247068680104</v>
      </c>
      <c r="X5" s="22">
        <v>9.6895924919287495</v>
      </c>
      <c r="Y5" s="22">
        <v>7.6093649776889549</v>
      </c>
      <c r="Z5" s="22">
        <v>9.1907549302834468</v>
      </c>
      <c r="AA5" s="22">
        <v>6.4842236303375671</v>
      </c>
    </row>
    <row r="6" spans="1:28" x14ac:dyDescent="0.25">
      <c r="A6" s="1" t="s">
        <v>3</v>
      </c>
      <c r="B6" s="1" t="s">
        <v>5</v>
      </c>
      <c r="C6" s="22">
        <v>7.6239999999999997</v>
      </c>
      <c r="D6" s="22">
        <v>7.6529999999999996</v>
      </c>
      <c r="E6" s="22">
        <v>7.7530000000000001</v>
      </c>
      <c r="F6" s="22">
        <v>7.68</v>
      </c>
      <c r="G6" s="22">
        <v>7.625</v>
      </c>
      <c r="H6" s="22">
        <v>7.5519999999999996</v>
      </c>
      <c r="I6" s="22">
        <v>7.5519999999999996</v>
      </c>
      <c r="J6" s="22">
        <v>7.5609999999999999</v>
      </c>
      <c r="K6" s="22">
        <v>7.6559999999999997</v>
      </c>
      <c r="L6" s="22">
        <v>7.6639999999999997</v>
      </c>
      <c r="M6" s="22">
        <v>7.6520000000000001</v>
      </c>
      <c r="N6" s="22">
        <v>7.6159999999999997</v>
      </c>
      <c r="O6" s="22">
        <v>7.6660000000000004</v>
      </c>
      <c r="P6" s="22">
        <v>7.7110000000000003</v>
      </c>
      <c r="Q6" s="22">
        <v>7.6740000000000004</v>
      </c>
      <c r="R6" s="22">
        <v>7.6310000000000002</v>
      </c>
      <c r="S6" s="22">
        <v>7.601</v>
      </c>
      <c r="T6" s="22">
        <v>7.6180000000000003</v>
      </c>
      <c r="U6" s="22">
        <v>7.6520000000000001</v>
      </c>
      <c r="V6" s="22">
        <v>6.51</v>
      </c>
      <c r="W6" s="22">
        <v>7.859</v>
      </c>
      <c r="X6" s="22">
        <v>6.38</v>
      </c>
      <c r="Y6" s="22">
        <v>4.8220000000000001</v>
      </c>
      <c r="Z6" s="22">
        <v>4.1719999999999997</v>
      </c>
      <c r="AA6" s="22">
        <v>4.202</v>
      </c>
    </row>
    <row r="7" spans="1:28" x14ac:dyDescent="0.25">
      <c r="A7" s="1" t="s">
        <v>3</v>
      </c>
      <c r="B7" s="1" t="s">
        <v>6</v>
      </c>
      <c r="C7" s="22">
        <v>62.401000000000003</v>
      </c>
      <c r="D7" s="22">
        <v>62.253</v>
      </c>
      <c r="E7" s="22">
        <v>62.103999999999999</v>
      </c>
      <c r="F7" s="22">
        <v>61.954999999999998</v>
      </c>
      <c r="G7" s="22">
        <v>61.8</v>
      </c>
      <c r="H7" s="22">
        <v>61.646000000000001</v>
      </c>
      <c r="I7" s="22">
        <v>60.664000000000001</v>
      </c>
      <c r="J7" s="22">
        <v>59.7</v>
      </c>
      <c r="K7" s="22">
        <v>58.759</v>
      </c>
      <c r="L7" s="22">
        <v>57.843000000000004</v>
      </c>
      <c r="M7" s="22">
        <v>56.953000000000003</v>
      </c>
      <c r="N7" s="22">
        <v>56.314</v>
      </c>
      <c r="O7" s="22">
        <v>55.692999999999998</v>
      </c>
      <c r="P7" s="22">
        <v>55.616</v>
      </c>
      <c r="Q7" s="22">
        <v>55.530999999999999</v>
      </c>
      <c r="R7" s="22">
        <v>55.436</v>
      </c>
      <c r="S7" s="22">
        <v>55.338999999999999</v>
      </c>
      <c r="T7" s="22">
        <v>55.241999999999997</v>
      </c>
      <c r="U7" s="22">
        <v>55.139000000000003</v>
      </c>
      <c r="V7" s="22">
        <v>55.03</v>
      </c>
      <c r="W7" s="22">
        <v>54.374000000000002</v>
      </c>
      <c r="X7" s="22">
        <v>55.481000000000002</v>
      </c>
      <c r="Y7" s="22">
        <v>56.664000000000001</v>
      </c>
      <c r="Z7" s="22">
        <v>57.921999999999997</v>
      </c>
      <c r="AA7" s="22">
        <v>58.987000000000002</v>
      </c>
    </row>
    <row r="8" spans="1:28" x14ac:dyDescent="0.25">
      <c r="A8" s="1" t="s">
        <v>4</v>
      </c>
      <c r="B8" s="1" t="s">
        <v>7</v>
      </c>
      <c r="C8" s="22">
        <v>6.34586743997545</v>
      </c>
      <c r="D8" s="22">
        <v>6.5003605339688306</v>
      </c>
      <c r="E8" s="22">
        <v>6.0064715363131995</v>
      </c>
      <c r="F8" s="22">
        <v>6.2888081614651554</v>
      </c>
      <c r="G8" s="22">
        <v>5.1408885176267489</v>
      </c>
      <c r="H8" s="22">
        <v>5.6435155134363129</v>
      </c>
      <c r="I8" s="22">
        <v>6.5314117467791988</v>
      </c>
      <c r="J8" s="22">
        <v>5.735274236644841</v>
      </c>
      <c r="K8" s="22">
        <v>3.8467447312105776</v>
      </c>
      <c r="L8" s="22">
        <v>-2.7677043659913778</v>
      </c>
      <c r="M8" s="22">
        <v>3.8582419523010714</v>
      </c>
      <c r="N8" s="22">
        <v>-3.2135320925337112</v>
      </c>
      <c r="O8" s="22">
        <v>-17.004688404894466</v>
      </c>
      <c r="P8" s="22">
        <v>1.9551446330242186</v>
      </c>
      <c r="Q8" s="22">
        <v>4.6613795422987323</v>
      </c>
      <c r="R8" s="22">
        <v>1.9101768905275094</v>
      </c>
      <c r="S8" s="22">
        <v>3.4676421840928811</v>
      </c>
      <c r="T8" s="22">
        <v>0.70925628476643965</v>
      </c>
      <c r="U8" s="22">
        <v>-2.6809305497998963</v>
      </c>
      <c r="V8" s="22">
        <v>-2.178251045300911</v>
      </c>
      <c r="W8" s="22">
        <v>-3.6298008241075195</v>
      </c>
      <c r="X8" s="22">
        <v>-1.8685204827206974</v>
      </c>
      <c r="Y8" s="22" t="s">
        <v>43</v>
      </c>
      <c r="Z8" s="22" t="s">
        <v>43</v>
      </c>
      <c r="AA8" s="22" t="s">
        <v>43</v>
      </c>
    </row>
    <row r="9" spans="1:28" x14ac:dyDescent="0.25">
      <c r="A9" s="1" t="s">
        <v>4</v>
      </c>
      <c r="B9" s="1" t="s">
        <v>5</v>
      </c>
      <c r="C9" s="22">
        <v>15.608000000000001</v>
      </c>
      <c r="D9" s="22">
        <v>15.568</v>
      </c>
      <c r="E9" s="22">
        <v>15.513999999999999</v>
      </c>
      <c r="F9" s="22">
        <v>15.515000000000001</v>
      </c>
      <c r="G9" s="22">
        <v>15.539</v>
      </c>
      <c r="H9" s="22">
        <v>15.545999999999999</v>
      </c>
      <c r="I9" s="22">
        <v>15.542</v>
      </c>
      <c r="J9" s="22">
        <v>15.531000000000001</v>
      </c>
      <c r="K9" s="22">
        <v>15.566000000000001</v>
      </c>
      <c r="L9" s="22">
        <v>13</v>
      </c>
      <c r="M9" s="22">
        <v>15.161</v>
      </c>
      <c r="N9" s="22">
        <v>17.440000000000001</v>
      </c>
      <c r="O9" s="22">
        <v>17.001999999999999</v>
      </c>
      <c r="P9" s="22">
        <v>16.3</v>
      </c>
      <c r="Q9" s="22">
        <v>15.411</v>
      </c>
      <c r="R9" s="22">
        <v>14.347</v>
      </c>
      <c r="S9" s="22">
        <v>13.606</v>
      </c>
      <c r="T9" s="22">
        <v>12.952999999999999</v>
      </c>
      <c r="U9" s="22">
        <v>12.303000000000001</v>
      </c>
      <c r="V9" s="22">
        <v>11.657999999999999</v>
      </c>
      <c r="W9" s="22">
        <v>11.958</v>
      </c>
      <c r="X9" s="22">
        <v>11.044</v>
      </c>
      <c r="Y9" s="22">
        <v>7.53</v>
      </c>
      <c r="Z9" s="22">
        <v>5.7729999999999997</v>
      </c>
      <c r="AA9" s="22">
        <v>4.8944999999999999</v>
      </c>
    </row>
    <row r="10" spans="1:28" x14ac:dyDescent="0.25">
      <c r="A10" s="1" t="s">
        <v>4</v>
      </c>
      <c r="B10" s="1" t="s">
        <v>6</v>
      </c>
      <c r="C10" s="22">
        <v>51.576000000000001</v>
      </c>
      <c r="D10" s="22">
        <v>51.304000000000002</v>
      </c>
      <c r="E10" s="22">
        <v>51.027000000000001</v>
      </c>
      <c r="F10" s="22">
        <v>50.756</v>
      </c>
      <c r="G10" s="22">
        <v>50.473999999999997</v>
      </c>
      <c r="H10" s="22">
        <v>50.176000000000002</v>
      </c>
      <c r="I10" s="22">
        <v>49.887999999999998</v>
      </c>
      <c r="J10" s="22">
        <v>49.593000000000004</v>
      </c>
      <c r="K10" s="22">
        <v>49.25</v>
      </c>
      <c r="L10" s="22">
        <v>49.337000000000003</v>
      </c>
      <c r="M10" s="22">
        <v>49.426000000000002</v>
      </c>
      <c r="N10" s="22">
        <v>49.514000000000003</v>
      </c>
      <c r="O10" s="22">
        <v>48.56</v>
      </c>
      <c r="P10" s="22">
        <v>47.484999999999999</v>
      </c>
      <c r="Q10" s="22">
        <v>46.332999999999998</v>
      </c>
      <c r="R10" s="22">
        <v>45.192</v>
      </c>
      <c r="S10" s="22">
        <v>44.052999999999997</v>
      </c>
      <c r="T10" s="22">
        <v>42.923000000000002</v>
      </c>
      <c r="U10" s="22">
        <v>41.862000000000002</v>
      </c>
      <c r="V10" s="22">
        <v>40.878</v>
      </c>
      <c r="W10" s="22">
        <v>39.591999999999999</v>
      </c>
      <c r="X10" s="22">
        <v>38.595999999999997</v>
      </c>
      <c r="Y10" s="22">
        <v>37.917000000000002</v>
      </c>
      <c r="Z10" s="22">
        <v>37.577500000000001</v>
      </c>
      <c r="AA10" s="22">
        <v>37.40775</v>
      </c>
    </row>
    <row r="12" spans="1:28" ht="15.6" customHeight="1" x14ac:dyDescent="0.25">
      <c r="Q12" s="1"/>
      <c r="R12" s="4"/>
      <c r="S12" s="40"/>
      <c r="T12" s="40"/>
      <c r="U12" s="40"/>
      <c r="V12" s="40"/>
      <c r="W12" s="40"/>
      <c r="X12" s="40"/>
      <c r="Y12" s="40"/>
      <c r="Z12" s="40"/>
      <c r="AA12" s="4"/>
    </row>
    <row r="13" spans="1:28" x14ac:dyDescent="0.25">
      <c r="X13" s="3"/>
    </row>
    <row r="14" spans="1:28" x14ac:dyDescent="0.25">
      <c r="X14" s="3"/>
      <c r="Y14" s="3"/>
      <c r="Z14" s="3"/>
      <c r="AA14" s="3"/>
    </row>
    <row r="15" spans="1:28" x14ac:dyDescent="0.25">
      <c r="C15" t="s">
        <v>44</v>
      </c>
      <c r="D15" t="s">
        <v>45</v>
      </c>
    </row>
    <row r="16" spans="1:28" x14ac:dyDescent="0.25">
      <c r="C16">
        <v>2000</v>
      </c>
      <c r="D16" s="22">
        <v>6.34586743997545</v>
      </c>
    </row>
    <row r="17" spans="3:9" x14ac:dyDescent="0.25">
      <c r="C17">
        <v>2001</v>
      </c>
      <c r="D17" s="22">
        <v>6.5003605339688306</v>
      </c>
    </row>
    <row r="18" spans="3:9" x14ac:dyDescent="0.25">
      <c r="C18">
        <v>2002</v>
      </c>
      <c r="D18" s="22">
        <v>6.0064715363131995</v>
      </c>
      <c r="I18" t="s">
        <v>70</v>
      </c>
    </row>
    <row r="19" spans="3:9" x14ac:dyDescent="0.25">
      <c r="C19">
        <v>2003</v>
      </c>
      <c r="D19" s="22">
        <v>6.2888081614651554</v>
      </c>
    </row>
    <row r="20" spans="3:9" x14ac:dyDescent="0.25">
      <c r="C20">
        <v>2004</v>
      </c>
      <c r="D20" s="22">
        <v>5.1408885176267489</v>
      </c>
    </row>
    <row r="21" spans="3:9" x14ac:dyDescent="0.25">
      <c r="C21">
        <v>2005</v>
      </c>
      <c r="D21" s="22">
        <v>5.6435155134363129</v>
      </c>
    </row>
    <row r="22" spans="3:9" x14ac:dyDescent="0.25">
      <c r="C22">
        <v>2006</v>
      </c>
      <c r="D22" s="22">
        <v>6.5314117467791988</v>
      </c>
      <c r="G22" t="s">
        <v>73</v>
      </c>
    </row>
    <row r="23" spans="3:9" x14ac:dyDescent="0.25">
      <c r="C23">
        <v>2007</v>
      </c>
      <c r="D23" s="22">
        <v>5.735274236644841</v>
      </c>
      <c r="F23">
        <v>2022</v>
      </c>
      <c r="G23">
        <f xml:space="preserve"> 942.208415521896 - 0.467846699946703*F23</f>
        <v>-3.7776117703375576</v>
      </c>
    </row>
    <row r="24" spans="3:9" x14ac:dyDescent="0.25">
      <c r="C24">
        <v>2008</v>
      </c>
      <c r="D24" s="22">
        <v>3.8467447312105776</v>
      </c>
      <c r="F24">
        <v>2023</v>
      </c>
      <c r="G24">
        <f xml:space="preserve"> 942.208415521896 - 0.467846699946703*F24</f>
        <v>-4.245458470284234</v>
      </c>
    </row>
    <row r="25" spans="3:9" x14ac:dyDescent="0.25">
      <c r="C25">
        <v>2009</v>
      </c>
      <c r="D25" s="22">
        <v>-2.7677043659913778</v>
      </c>
      <c r="F25">
        <v>2024</v>
      </c>
      <c r="G25">
        <f xml:space="preserve"> 942.208415521896 - 0.467846699946703*F25</f>
        <v>-4.7133051702309103</v>
      </c>
    </row>
    <row r="26" spans="3:9" x14ac:dyDescent="0.25">
      <c r="C26">
        <v>2010</v>
      </c>
      <c r="D26" s="22">
        <v>3.8582419523010714</v>
      </c>
    </row>
    <row r="27" spans="3:9" x14ac:dyDescent="0.25">
      <c r="C27">
        <v>2011</v>
      </c>
      <c r="D27" s="22">
        <v>-3.2135320925337112</v>
      </c>
    </row>
    <row r="28" spans="3:9" x14ac:dyDescent="0.25">
      <c r="C28">
        <v>2012</v>
      </c>
      <c r="D28" s="22">
        <v>-17.004688404894466</v>
      </c>
    </row>
    <row r="29" spans="3:9" x14ac:dyDescent="0.25">
      <c r="C29">
        <v>2013</v>
      </c>
      <c r="D29" s="22">
        <v>1.9551446330242186</v>
      </c>
    </row>
    <row r="30" spans="3:9" x14ac:dyDescent="0.25">
      <c r="C30">
        <v>2014</v>
      </c>
      <c r="D30" s="22">
        <v>4.6613795422987323</v>
      </c>
    </row>
    <row r="31" spans="3:9" x14ac:dyDescent="0.25">
      <c r="C31">
        <v>2015</v>
      </c>
      <c r="D31" s="22">
        <v>1.9101768905275101</v>
      </c>
    </row>
    <row r="32" spans="3:9" x14ac:dyDescent="0.25">
      <c r="C32">
        <v>2016</v>
      </c>
      <c r="D32" s="22">
        <v>3.4676421840928811</v>
      </c>
    </row>
    <row r="33" spans="3:4" x14ac:dyDescent="0.25">
      <c r="C33">
        <v>2017</v>
      </c>
      <c r="D33" s="22">
        <v>0.70925628476643998</v>
      </c>
    </row>
    <row r="34" spans="3:4" x14ac:dyDescent="0.25">
      <c r="C34">
        <v>2018</v>
      </c>
      <c r="D34" s="22">
        <v>-2.6809305497998999</v>
      </c>
    </row>
    <row r="35" spans="3:4" x14ac:dyDescent="0.25">
      <c r="C35">
        <v>2019</v>
      </c>
      <c r="D35" s="22">
        <v>-2.178251045300911</v>
      </c>
    </row>
    <row r="36" spans="3:4" x14ac:dyDescent="0.25">
      <c r="C36">
        <v>2020</v>
      </c>
      <c r="D36" s="22">
        <v>-3.6298008241075195</v>
      </c>
    </row>
    <row r="37" spans="3:4" x14ac:dyDescent="0.25">
      <c r="C37">
        <v>2021</v>
      </c>
      <c r="D37" s="22">
        <v>-1.8685204827206974</v>
      </c>
    </row>
  </sheetData>
  <mergeCells count="1">
    <mergeCell ref="S12:Z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1ECB-E408-4FBF-A198-EEF83F2D96AB}">
  <dimension ref="A1:H18"/>
  <sheetViews>
    <sheetView topLeftCell="A7" zoomScaleNormal="100" workbookViewId="0">
      <selection activeCell="C5" sqref="C5"/>
    </sheetView>
  </sheetViews>
  <sheetFormatPr defaultRowHeight="13.8" x14ac:dyDescent="0.25"/>
  <cols>
    <col min="1" max="1" width="12.69921875" customWidth="1"/>
    <col min="2" max="2" width="24.69921875" customWidth="1"/>
    <col min="3" max="4" width="9" bestFit="1" customWidth="1"/>
    <col min="5" max="5" width="9.59765625" bestFit="1" customWidth="1"/>
    <col min="6" max="6" width="9" bestFit="1" customWidth="1"/>
    <col min="7" max="7" width="8.8984375" bestFit="1" customWidth="1"/>
  </cols>
  <sheetData>
    <row r="1" spans="1:8" x14ac:dyDescent="0.25">
      <c r="A1" s="39" t="s">
        <v>40</v>
      </c>
      <c r="B1" s="41"/>
      <c r="C1" s="41"/>
      <c r="D1" s="41"/>
      <c r="E1" s="41"/>
      <c r="F1" s="41"/>
      <c r="G1" s="41"/>
      <c r="H1" s="41"/>
    </row>
    <row r="2" spans="1:8" x14ac:dyDescent="0.25">
      <c r="A2" s="42"/>
      <c r="B2" s="42"/>
      <c r="C2" s="42"/>
      <c r="D2" s="42"/>
      <c r="E2" s="42"/>
      <c r="F2" s="42"/>
      <c r="G2" s="42"/>
      <c r="H2" s="42"/>
    </row>
    <row r="3" spans="1:8" ht="15.6" x14ac:dyDescent="0.3">
      <c r="A3" s="11" t="s">
        <v>1</v>
      </c>
      <c r="B3" s="12" t="s">
        <v>0</v>
      </c>
      <c r="C3" s="12" t="s">
        <v>8</v>
      </c>
      <c r="D3" s="12" t="s">
        <v>9</v>
      </c>
      <c r="E3" s="12" t="s">
        <v>10</v>
      </c>
      <c r="F3" s="12" t="s">
        <v>11</v>
      </c>
      <c r="G3" s="12" t="s">
        <v>19</v>
      </c>
      <c r="H3" s="13" t="s">
        <v>12</v>
      </c>
    </row>
    <row r="4" spans="1:8" x14ac:dyDescent="0.25">
      <c r="A4" s="6" t="s">
        <v>2</v>
      </c>
      <c r="B4" s="1" t="s">
        <v>7</v>
      </c>
      <c r="C4" s="17">
        <f>AVERAGE(Cleaned_Data!C2:AA2)</f>
        <v>3.8973344522722164</v>
      </c>
      <c r="D4" s="17">
        <f>MEDIAN(Cleaned_Data!C2:AA2)</f>
        <v>3.3134847362590136</v>
      </c>
      <c r="E4" s="17">
        <f>MIN(Cleaned_Data!C2:AA2)</f>
        <v>-3.8047647303899907</v>
      </c>
      <c r="F4" s="17">
        <f>MAX(Cleaned_Data!C2:AA2)</f>
        <v>12.000587475292889</v>
      </c>
      <c r="G4" s="17">
        <f>STDEV(Cleaned_Data!C2:AA2)</f>
        <v>3.8252868541377958</v>
      </c>
      <c r="H4" s="9">
        <f>COUNT(Cleaned_Data!C2:AA2)</f>
        <v>25</v>
      </c>
    </row>
    <row r="5" spans="1:8" x14ac:dyDescent="0.25">
      <c r="A5" s="6" t="s">
        <v>2</v>
      </c>
      <c r="B5" s="1" t="s">
        <v>5</v>
      </c>
      <c r="C5" s="17">
        <f>AVERAGE(Cleaned_Data!C3:AA3)</f>
        <v>5.5714799999999975</v>
      </c>
      <c r="D5" s="17">
        <f>MEDIAN(Cleaned_Data!C3:AA3)</f>
        <v>5.6</v>
      </c>
      <c r="E5" s="17">
        <f>MIN(Cleaned_Data!C3:AA3)</f>
        <v>3.8959999999999999</v>
      </c>
      <c r="F5" s="17">
        <f>MAX(Cleaned_Data!C3:AA3)</f>
        <v>7.66</v>
      </c>
      <c r="G5" s="17">
        <f>STDEV(Cleaned_Data!C3:AA3)</f>
        <v>0.77012137138680348</v>
      </c>
      <c r="H5" s="9">
        <f>COUNT(Cleaned_Data!C3:AA3)</f>
        <v>25</v>
      </c>
    </row>
    <row r="6" spans="1:8" x14ac:dyDescent="0.25">
      <c r="A6" s="6" t="s">
        <v>2</v>
      </c>
      <c r="B6" s="1" t="s">
        <v>6</v>
      </c>
      <c r="C6" s="17">
        <f>AVERAGE(Cleaned_Data!C4:AA4)</f>
        <v>56.371240000000014</v>
      </c>
      <c r="D6" s="17">
        <f>MEDIAN(Cleaned_Data!C4:AA4)</f>
        <v>56.543999999999997</v>
      </c>
      <c r="E6" s="17">
        <f>MIN(Cleaned_Data!C4:AA4)</f>
        <v>48.966000000000001</v>
      </c>
      <c r="F6" s="17">
        <f>MAX(Cleaned_Data!C4:AA4)</f>
        <v>65.268000000000001</v>
      </c>
      <c r="G6" s="17">
        <f>STDEV(Cleaned_Data!C4:AA4)</f>
        <v>6.4153142510712717</v>
      </c>
      <c r="H6" s="9">
        <f>COUNT(Cleaned_Data!C4:AA4)</f>
        <v>25</v>
      </c>
    </row>
    <row r="7" spans="1:8" x14ac:dyDescent="0.25">
      <c r="A7" s="6" t="s">
        <v>3</v>
      </c>
      <c r="B7" s="1" t="s">
        <v>7</v>
      </c>
      <c r="C7" s="17">
        <f>AVERAGE(Cleaned_Data!C5:AA5)</f>
        <v>6.2562752303298774</v>
      </c>
      <c r="D7" s="17">
        <f>MEDIAN(Cleaned_Data!C5:AA5)</f>
        <v>7.4102276050885365</v>
      </c>
      <c r="E7" s="17">
        <f>MIN(Cleaned_Data!C5:AA5)</f>
        <v>-5.7777247068680104</v>
      </c>
      <c r="F7" s="17">
        <f>MAX(Cleaned_Data!C5:AA5)</f>
        <v>9.6895924919287495</v>
      </c>
      <c r="G7" s="17">
        <f>STDEV(Cleaned_Data!C5:AA5)</f>
        <v>3.0826644992075112</v>
      </c>
      <c r="H7" s="9">
        <f>COUNT(Cleaned_Data!C5:AA5)</f>
        <v>25</v>
      </c>
    </row>
    <row r="8" spans="1:8" x14ac:dyDescent="0.25">
      <c r="A8" s="6" t="s">
        <v>3</v>
      </c>
      <c r="B8" s="1" t="s">
        <v>5</v>
      </c>
      <c r="C8" s="17">
        <f>AVERAGE(Cleaned_Data!C6:AA6)</f>
        <v>7.1634399999999996</v>
      </c>
      <c r="D8" s="17">
        <f>MEDIAN(Cleaned_Data!C6:AA6)</f>
        <v>7.625</v>
      </c>
      <c r="E8" s="17">
        <f>MIN(Cleaned_Data!C6:AA6)</f>
        <v>4.1719999999999997</v>
      </c>
      <c r="F8" s="17">
        <f>MAX(Cleaned_Data!C6:AA6)</f>
        <v>7.859</v>
      </c>
      <c r="G8" s="17">
        <f>STDEV(Cleaned_Data!C6:AA6)</f>
        <v>1.1005703097334103</v>
      </c>
      <c r="H8" s="9">
        <f>COUNT(Cleaned_Data!C6:AA6)</f>
        <v>25</v>
      </c>
    </row>
    <row r="9" spans="1:8" x14ac:dyDescent="0.25">
      <c r="A9" s="6" t="s">
        <v>3</v>
      </c>
      <c r="B9" s="1" t="s">
        <v>6</v>
      </c>
      <c r="C9" s="17">
        <f>AVERAGE(Cleaned_Data!C7:AA7)</f>
        <v>57.953839999999992</v>
      </c>
      <c r="D9" s="17">
        <f>MEDIAN(Cleaned_Data!C7:AA7)</f>
        <v>56.953000000000003</v>
      </c>
      <c r="E9" s="17">
        <f>MIN(Cleaned_Data!C7:AA7)</f>
        <v>54.374000000000002</v>
      </c>
      <c r="F9" s="17">
        <f>MAX(Cleaned_Data!C7:AA7)</f>
        <v>62.401000000000003</v>
      </c>
      <c r="G9" s="17">
        <f>STDEV(Cleaned_Data!C7:AA7)</f>
        <v>2.8119979800846231</v>
      </c>
      <c r="H9" s="9">
        <f>COUNT(Cleaned_Data!C7:AA7)</f>
        <v>25</v>
      </c>
    </row>
    <row r="10" spans="1:8" x14ac:dyDescent="0.25">
      <c r="A10" s="6" t="s">
        <v>4</v>
      </c>
      <c r="B10" s="1" t="s">
        <v>7</v>
      </c>
      <c r="C10" s="17">
        <f>AVERAGE(Cleaned_Data!C8:AA8)</f>
        <v>0.90071024556330348</v>
      </c>
      <c r="D10" s="17">
        <f>MEDIAN(Cleaned_Data!C8:AA8)</f>
        <v>1.9551446330242186</v>
      </c>
      <c r="E10" s="17">
        <f>MIN(Cleaned_Data!C8:AA8)</f>
        <v>-17.004688404894466</v>
      </c>
      <c r="F10" s="17">
        <f>MAX(Cleaned_Data!C8:AA8)</f>
        <v>6.5314117467791988</v>
      </c>
      <c r="G10" s="17">
        <f>STDEV(Cleaned_Data!C8:AA8)</f>
        <v>5.5279273863571783</v>
      </c>
      <c r="H10" s="9">
        <f>COUNT(Cleaned_Data!C8:AA8)</f>
        <v>25</v>
      </c>
    </row>
    <row r="11" spans="1:8" x14ac:dyDescent="0.25">
      <c r="A11" s="6" t="s">
        <v>4</v>
      </c>
      <c r="B11" s="1" t="s">
        <v>5</v>
      </c>
      <c r="C11" s="17">
        <f>AVERAGE(Cleaned_Data!C9:AA9)</f>
        <v>13.61238</v>
      </c>
      <c r="D11" s="17">
        <f>MEDIAN(Cleaned_Data!C9:AA9)</f>
        <v>15.411</v>
      </c>
      <c r="E11" s="17">
        <f>MIN(Cleaned_Data!C9:AA9)</f>
        <v>4.8944999999999999</v>
      </c>
      <c r="F11" s="17">
        <f>MAX(Cleaned_Data!C9:AA9)</f>
        <v>17.440000000000001</v>
      </c>
      <c r="G11" s="17">
        <f>STDEV(Cleaned_Data!C9:AA9)</f>
        <v>3.3127375866997522</v>
      </c>
      <c r="H11" s="9">
        <f>COUNT(Cleaned_Data!C9:AA9)</f>
        <v>25</v>
      </c>
    </row>
    <row r="12" spans="1:8" x14ac:dyDescent="0.25">
      <c r="A12" s="7" t="s">
        <v>4</v>
      </c>
      <c r="B12" s="8" t="s">
        <v>6</v>
      </c>
      <c r="C12" s="19">
        <f>AVERAGE(Cleaned_Data!C10:AA10)</f>
        <v>46.027890000000006</v>
      </c>
      <c r="D12" s="19">
        <f>MEDIAN(Cleaned_Data!C10:AA10)</f>
        <v>48.56</v>
      </c>
      <c r="E12" s="19">
        <f>MIN(Cleaned_Data!C10:AA10)</f>
        <v>37.40775</v>
      </c>
      <c r="F12" s="19">
        <f>MAX(Cleaned_Data!C10:AA10)</f>
        <v>51.576000000000001</v>
      </c>
      <c r="G12" s="19">
        <f>STDEV(Cleaned_Data!C10:AA10)</f>
        <v>4.9601817675447482</v>
      </c>
      <c r="H12" s="10">
        <f>COUNT(Cleaned_Data!C10:AA10)</f>
        <v>25</v>
      </c>
    </row>
    <row r="15" spans="1:8" ht="15.6" x14ac:dyDescent="0.3">
      <c r="C15" s="5"/>
      <c r="D15" s="11" t="s">
        <v>15</v>
      </c>
      <c r="E15" s="12" t="s">
        <v>13</v>
      </c>
      <c r="F15" s="13" t="s">
        <v>14</v>
      </c>
    </row>
    <row r="16" spans="1:8" ht="15.6" x14ac:dyDescent="0.3">
      <c r="C16" s="14" t="s">
        <v>16</v>
      </c>
      <c r="D16" s="21">
        <f>SUM(C4)</f>
        <v>3.8973344522722164</v>
      </c>
      <c r="E16" s="22">
        <f>SUM(C5)</f>
        <v>5.5714799999999975</v>
      </c>
      <c r="F16" s="18">
        <f>SUM(C6)</f>
        <v>56.371240000000014</v>
      </c>
    </row>
    <row r="17" spans="3:6" ht="15.6" x14ac:dyDescent="0.3">
      <c r="C17" s="15" t="s">
        <v>17</v>
      </c>
      <c r="D17" s="23">
        <f>SUM(C7)</f>
        <v>6.2562752303298774</v>
      </c>
      <c r="E17" s="22">
        <f>SUM(C8)</f>
        <v>7.1634399999999996</v>
      </c>
      <c r="F17" s="18">
        <f>SUM(C9)</f>
        <v>57.953839999999992</v>
      </c>
    </row>
    <row r="18" spans="3:6" ht="15.6" x14ac:dyDescent="0.3">
      <c r="C18" s="16" t="s">
        <v>18</v>
      </c>
      <c r="D18" s="24">
        <f>SUM(C10)</f>
        <v>0.90071024556330348</v>
      </c>
      <c r="E18" s="25">
        <f>SUM(C11)</f>
        <v>13.61238</v>
      </c>
      <c r="F18" s="20">
        <f>SUM(C12)</f>
        <v>46.027890000000006</v>
      </c>
    </row>
  </sheetData>
  <mergeCells count="1">
    <mergeCell ref="A1:H2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C59A-2D15-4775-86D0-B5779DBBF9F2}">
  <dimension ref="A1:D35"/>
  <sheetViews>
    <sheetView zoomScale="90" zoomScaleNormal="90" workbookViewId="0">
      <selection activeCell="C6" sqref="C6"/>
    </sheetView>
  </sheetViews>
  <sheetFormatPr defaultRowHeight="13.8" x14ac:dyDescent="0.25"/>
  <cols>
    <col min="1" max="1" width="70.19921875" customWidth="1"/>
  </cols>
  <sheetData>
    <row r="1" spans="1:4" ht="18" customHeight="1" x14ac:dyDescent="0.25"/>
    <row r="2" spans="1:4" ht="30" customHeight="1" x14ac:dyDescent="0.25">
      <c r="A2" s="32" t="s">
        <v>39</v>
      </c>
    </row>
    <row r="3" spans="1:4" ht="18" customHeight="1" x14ac:dyDescent="0.25">
      <c r="A3" s="29"/>
    </row>
    <row r="4" spans="1:4" ht="99" customHeight="1" x14ac:dyDescent="0.25">
      <c r="A4" s="30" t="s">
        <v>42</v>
      </c>
      <c r="D4" s="31"/>
    </row>
    <row r="5" spans="1:4" ht="18" customHeight="1" x14ac:dyDescent="0.25">
      <c r="A5" s="30"/>
    </row>
    <row r="6" spans="1:4" ht="126" customHeight="1" x14ac:dyDescent="0.25">
      <c r="A6" s="30" t="s">
        <v>76</v>
      </c>
    </row>
    <row r="7" spans="1:4" ht="18" customHeight="1" x14ac:dyDescent="0.25">
      <c r="A7" s="30"/>
    </row>
    <row r="8" spans="1:4" ht="123" customHeight="1" x14ac:dyDescent="0.25">
      <c r="A8" s="30" t="s">
        <v>74</v>
      </c>
    </row>
    <row r="9" spans="1:4" ht="18" customHeight="1" x14ac:dyDescent="0.25">
      <c r="A9" s="30"/>
    </row>
    <row r="10" spans="1:4" ht="409.2" customHeight="1" x14ac:dyDescent="0.25">
      <c r="A10" s="33" t="s">
        <v>41</v>
      </c>
    </row>
    <row r="11" spans="1:4" ht="210.6" customHeight="1" x14ac:dyDescent="0.25">
      <c r="A11" s="33"/>
    </row>
    <row r="12" spans="1:4" ht="18" customHeight="1" x14ac:dyDescent="0.25">
      <c r="A12" s="30"/>
    </row>
    <row r="13" spans="1:4" ht="88.8" customHeight="1" x14ac:dyDescent="0.25">
      <c r="A13" s="30" t="s">
        <v>75</v>
      </c>
    </row>
    <row r="14" spans="1:4" ht="18" customHeight="1" x14ac:dyDescent="0.25">
      <c r="A14" s="30"/>
    </row>
    <row r="16" spans="1:4" ht="15" x14ac:dyDescent="0.25">
      <c r="A16" s="30"/>
    </row>
    <row r="17" spans="1:1" ht="15" x14ac:dyDescent="0.25">
      <c r="A17" s="30"/>
    </row>
    <row r="18" spans="1:1" ht="15" x14ac:dyDescent="0.25">
      <c r="A18" s="30"/>
    </row>
    <row r="19" spans="1:1" ht="15" x14ac:dyDescent="0.25">
      <c r="A19" s="30"/>
    </row>
    <row r="20" spans="1:1" ht="15" x14ac:dyDescent="0.25">
      <c r="A20" s="30"/>
    </row>
    <row r="21" spans="1:1" ht="15" x14ac:dyDescent="0.25">
      <c r="A21" s="30"/>
    </row>
    <row r="22" spans="1:1" ht="15" x14ac:dyDescent="0.25">
      <c r="A22" s="30"/>
    </row>
    <row r="23" spans="1:1" ht="15" x14ac:dyDescent="0.25">
      <c r="A23" s="30"/>
    </row>
    <row r="24" spans="1:1" ht="15" x14ac:dyDescent="0.25">
      <c r="A24" s="28"/>
    </row>
    <row r="25" spans="1:1" ht="15" x14ac:dyDescent="0.25">
      <c r="A25" s="28"/>
    </row>
    <row r="26" spans="1:1" ht="15" x14ac:dyDescent="0.25">
      <c r="A26" s="28"/>
    </row>
    <row r="27" spans="1:1" ht="15" x14ac:dyDescent="0.25">
      <c r="A27" s="28"/>
    </row>
    <row r="28" spans="1:1" ht="15" x14ac:dyDescent="0.25">
      <c r="A28" s="28"/>
    </row>
    <row r="29" spans="1:1" ht="15" x14ac:dyDescent="0.25">
      <c r="A29" s="28"/>
    </row>
    <row r="30" spans="1:1" ht="15" x14ac:dyDescent="0.25">
      <c r="A30" s="28"/>
    </row>
    <row r="31" spans="1:1" ht="18" customHeight="1" x14ac:dyDescent="0.25">
      <c r="A31" s="28"/>
    </row>
    <row r="32" spans="1:1" ht="15" x14ac:dyDescent="0.25">
      <c r="A32" s="28"/>
    </row>
    <row r="33" spans="1:1" ht="15" x14ac:dyDescent="0.25">
      <c r="A33" s="28"/>
    </row>
    <row r="34" spans="1:1" ht="15" x14ac:dyDescent="0.25">
      <c r="A34" s="28"/>
    </row>
    <row r="35" spans="1:1" ht="15" x14ac:dyDescent="0.25">
      <c r="A35" s="28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C850-3FAE-4686-BF1F-ED57F0027C0F}">
  <dimension ref="A1"/>
  <sheetViews>
    <sheetView topLeftCell="A5" zoomScale="60" zoomScaleNormal="60" workbookViewId="0">
      <selection activeCell="S2" sqref="S2"/>
    </sheetView>
  </sheetViews>
  <sheetFormatPr defaultRowHeight="13.8" x14ac:dyDescent="0.25"/>
  <sheetData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7FB7-C75E-4C30-AF59-264C1C2D388A}">
  <dimension ref="A1:E11"/>
  <sheetViews>
    <sheetView workbookViewId="0">
      <selection activeCell="E8" sqref="E8"/>
    </sheetView>
  </sheetViews>
  <sheetFormatPr defaultRowHeight="13.8" x14ac:dyDescent="0.25"/>
  <cols>
    <col min="1" max="1" width="28.69921875" customWidth="1"/>
    <col min="2" max="4" width="12.69921875" customWidth="1"/>
    <col min="5" max="5" width="68.296875" customWidth="1"/>
  </cols>
  <sheetData>
    <row r="1" spans="1:5" ht="15.6" x14ac:dyDescent="0.25">
      <c r="B1" s="39" t="s">
        <v>30</v>
      </c>
      <c r="C1" s="39"/>
      <c r="D1" s="39"/>
    </row>
    <row r="2" spans="1:5" ht="15.6" x14ac:dyDescent="0.25">
      <c r="B2" s="38" t="s">
        <v>31</v>
      </c>
      <c r="C2" s="38"/>
      <c r="D2" s="38"/>
    </row>
    <row r="3" spans="1:5" ht="15.6" x14ac:dyDescent="0.3">
      <c r="A3" s="11" t="s">
        <v>0</v>
      </c>
      <c r="B3" s="12" t="s">
        <v>2</v>
      </c>
      <c r="C3" s="12" t="s">
        <v>3</v>
      </c>
      <c r="D3" s="12" t="s">
        <v>4</v>
      </c>
      <c r="E3" s="13" t="s">
        <v>20</v>
      </c>
    </row>
    <row r="4" spans="1:5" x14ac:dyDescent="0.25">
      <c r="A4" s="6" t="s">
        <v>21</v>
      </c>
      <c r="B4" s="22">
        <f>SUM(Descriptives!C4)</f>
        <v>3.8973344522722164</v>
      </c>
      <c r="C4" s="22">
        <f>SUM(Descriptives!C7)</f>
        <v>6.2562752303298774</v>
      </c>
      <c r="D4" s="22">
        <f>SUM(Descriptives!C10)</f>
        <v>0.90071024556330348</v>
      </c>
      <c r="E4" s="9" t="s">
        <v>32</v>
      </c>
    </row>
    <row r="5" spans="1:5" x14ac:dyDescent="0.25">
      <c r="A5" s="6" t="s">
        <v>22</v>
      </c>
      <c r="B5" s="22">
        <f>SUM(Descriptives!C5)</f>
        <v>5.5714799999999975</v>
      </c>
      <c r="C5" s="22">
        <f>SUM(Descriptives!C8)</f>
        <v>7.1634399999999996</v>
      </c>
      <c r="D5" s="22">
        <f>SUM(Descriptives!C11)</f>
        <v>13.61238</v>
      </c>
      <c r="E5" s="9" t="s">
        <v>33</v>
      </c>
    </row>
    <row r="6" spans="1:5" x14ac:dyDescent="0.25">
      <c r="A6" s="6" t="s">
        <v>23</v>
      </c>
      <c r="B6" s="22">
        <f>SUM(Descriptives!C6)</f>
        <v>56.371240000000014</v>
      </c>
      <c r="C6" s="22">
        <f>SUM(Descriptives!C9)</f>
        <v>57.953839999999992</v>
      </c>
      <c r="D6" s="22">
        <f>SUM(Descriptives!C12)</f>
        <v>46.027890000000006</v>
      </c>
      <c r="E6" s="9" t="s">
        <v>34</v>
      </c>
    </row>
    <row r="7" spans="1:5" x14ac:dyDescent="0.25">
      <c r="A7" s="6" t="s">
        <v>24</v>
      </c>
      <c r="B7" s="22">
        <f>SUM(Descriptives!G5)</f>
        <v>0.77012137138680348</v>
      </c>
      <c r="C7" s="22">
        <f>SUM(Descriptives!G8)</f>
        <v>1.1005703097334103</v>
      </c>
      <c r="D7" s="22">
        <f>SUM(Descriptives!G11)</f>
        <v>3.3127375866997522</v>
      </c>
      <c r="E7" s="9" t="s">
        <v>35</v>
      </c>
    </row>
    <row r="8" spans="1:5" x14ac:dyDescent="0.25">
      <c r="A8" s="6" t="s">
        <v>25</v>
      </c>
      <c r="B8" s="22">
        <f>SUM(Descriptives!G6)</f>
        <v>6.4153142510712717</v>
      </c>
      <c r="C8" s="22">
        <f>SUM(Descriptives!G9)</f>
        <v>2.8119979800846231</v>
      </c>
      <c r="D8" s="22">
        <f>SUM(Descriptives!G12)</f>
        <v>4.9601817675447482</v>
      </c>
      <c r="E8" s="9" t="s">
        <v>72</v>
      </c>
    </row>
    <row r="9" spans="1:5" x14ac:dyDescent="0.25">
      <c r="A9" s="6" t="s">
        <v>26</v>
      </c>
      <c r="B9" s="1">
        <f>RSQ(Cleaned_Data!C3:AA3,Cleaned_Data!C2:AA2)</f>
        <v>2.3787013370921218E-4</v>
      </c>
      <c r="C9" s="1">
        <f>RSQ(Cleaned_Data!C6:AA6,Cleaned_Data!C5:AA5)</f>
        <v>5.8600206973971031E-2</v>
      </c>
      <c r="D9" s="1">
        <f>RSQ(Cleaned_Data!C9:AA9,Cleaned_Data!C8:AA8)</f>
        <v>0.14773179470351652</v>
      </c>
      <c r="E9" s="9" t="s">
        <v>71</v>
      </c>
    </row>
    <row r="10" spans="1:5" x14ac:dyDescent="0.25">
      <c r="A10" s="6" t="s">
        <v>27</v>
      </c>
      <c r="B10" s="1" t="s">
        <v>29</v>
      </c>
      <c r="C10" s="1" t="s">
        <v>29</v>
      </c>
      <c r="D10" s="1" t="s">
        <v>29</v>
      </c>
      <c r="E10" s="9"/>
    </row>
    <row r="11" spans="1:5" ht="99" customHeight="1" x14ac:dyDescent="0.25">
      <c r="A11" s="26" t="s">
        <v>28</v>
      </c>
      <c r="B11" s="27" t="s">
        <v>37</v>
      </c>
      <c r="C11" s="27" t="s">
        <v>36</v>
      </c>
      <c r="D11" s="27" t="s">
        <v>38</v>
      </c>
      <c r="E11" s="10"/>
    </row>
  </sheetData>
  <mergeCells count="2">
    <mergeCell ref="B2:D2"/>
    <mergeCell ref="B1:D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76B6-EA4C-453B-8838-0AA480938A6B}">
  <dimension ref="A1:I18"/>
  <sheetViews>
    <sheetView workbookViewId="0">
      <selection activeCell="B25" sqref="B25"/>
    </sheetView>
  </sheetViews>
  <sheetFormatPr defaultRowHeight="13.8" x14ac:dyDescent="0.25"/>
  <sheetData>
    <row r="1" spans="1:9" x14ac:dyDescent="0.25">
      <c r="A1" t="s">
        <v>46</v>
      </c>
    </row>
    <row r="2" spans="1:9" ht="14.4" thickBot="1" x14ac:dyDescent="0.3"/>
    <row r="3" spans="1:9" ht="14.4" x14ac:dyDescent="0.3">
      <c r="A3" s="36" t="s">
        <v>47</v>
      </c>
      <c r="B3" s="36"/>
    </row>
    <row r="4" spans="1:9" x14ac:dyDescent="0.25">
      <c r="A4" t="s">
        <v>48</v>
      </c>
      <c r="B4">
        <v>0.54918182424902107</v>
      </c>
    </row>
    <row r="5" spans="1:9" x14ac:dyDescent="0.25">
      <c r="A5" t="s">
        <v>49</v>
      </c>
      <c r="B5">
        <v>0.30160067608548263</v>
      </c>
    </row>
    <row r="6" spans="1:9" x14ac:dyDescent="0.25">
      <c r="A6" t="s">
        <v>50</v>
      </c>
      <c r="B6">
        <v>0.26668070988975678</v>
      </c>
    </row>
    <row r="7" spans="1:9" x14ac:dyDescent="0.25">
      <c r="A7" t="s">
        <v>51</v>
      </c>
      <c r="B7">
        <v>4.7371660171939727</v>
      </c>
    </row>
    <row r="8" spans="1:9" ht="14.4" thickBot="1" x14ac:dyDescent="0.3">
      <c r="A8" s="34" t="s">
        <v>52</v>
      </c>
      <c r="B8" s="34">
        <v>22</v>
      </c>
    </row>
    <row r="10" spans="1:9" ht="14.4" thickBot="1" x14ac:dyDescent="0.3">
      <c r="A10" t="s">
        <v>53</v>
      </c>
    </row>
    <row r="11" spans="1:9" ht="14.4" x14ac:dyDescent="0.3">
      <c r="A11" s="35"/>
      <c r="B11" s="35" t="s">
        <v>58</v>
      </c>
      <c r="C11" s="35" t="s">
        <v>59</v>
      </c>
      <c r="D11" s="35" t="s">
        <v>60</v>
      </c>
      <c r="E11" s="35" t="s">
        <v>61</v>
      </c>
      <c r="F11" s="35" t="s">
        <v>62</v>
      </c>
    </row>
    <row r="12" spans="1:9" x14ac:dyDescent="0.25">
      <c r="A12" t="s">
        <v>54</v>
      </c>
      <c r="B12">
        <v>1</v>
      </c>
      <c r="C12">
        <v>193.81871343347865</v>
      </c>
      <c r="D12">
        <v>193.81871343347865</v>
      </c>
      <c r="E12">
        <v>8.6369120289239554</v>
      </c>
      <c r="F12">
        <v>8.117113101787074E-3</v>
      </c>
    </row>
    <row r="13" spans="1:9" x14ac:dyDescent="0.25">
      <c r="A13" t="s">
        <v>55</v>
      </c>
      <c r="B13">
        <v>20</v>
      </c>
      <c r="C13">
        <v>448.81483748914803</v>
      </c>
      <c r="D13">
        <v>22.440741874457402</v>
      </c>
    </row>
    <row r="14" spans="1:9" ht="14.4" thickBot="1" x14ac:dyDescent="0.3">
      <c r="A14" s="34" t="s">
        <v>56</v>
      </c>
      <c r="B14" s="34">
        <v>21</v>
      </c>
      <c r="C14" s="34">
        <v>642.63355092262668</v>
      </c>
      <c r="D14" s="34"/>
      <c r="E14" s="34"/>
      <c r="F14" s="34"/>
    </row>
    <row r="15" spans="1:9" ht="14.4" thickBot="1" x14ac:dyDescent="0.3"/>
    <row r="16" spans="1:9" ht="14.4" x14ac:dyDescent="0.3">
      <c r="A16" s="35"/>
      <c r="B16" s="35" t="s">
        <v>63</v>
      </c>
      <c r="C16" s="35" t="s">
        <v>51</v>
      </c>
      <c r="D16" s="35" t="s">
        <v>64</v>
      </c>
      <c r="E16" s="35" t="s">
        <v>65</v>
      </c>
      <c r="F16" s="35" t="s">
        <v>66</v>
      </c>
      <c r="G16" s="35" t="s">
        <v>67</v>
      </c>
      <c r="H16" s="35" t="s">
        <v>68</v>
      </c>
      <c r="I16" s="35" t="s">
        <v>69</v>
      </c>
    </row>
    <row r="17" spans="1:9" x14ac:dyDescent="0.25">
      <c r="A17" t="s">
        <v>57</v>
      </c>
      <c r="B17">
        <v>942.20841552189552</v>
      </c>
      <c r="C17">
        <v>320.05938182128426</v>
      </c>
      <c r="D17">
        <v>2.9438550126551477</v>
      </c>
      <c r="E17">
        <v>8.0268314995805036E-3</v>
      </c>
      <c r="F17">
        <v>274.57624408818776</v>
      </c>
      <c r="G17">
        <v>1609.8405869556032</v>
      </c>
      <c r="H17">
        <v>274.57624408818776</v>
      </c>
      <c r="I17">
        <v>1609.8405869556032</v>
      </c>
    </row>
    <row r="18" spans="1:9" ht="14.4" thickBot="1" x14ac:dyDescent="0.3">
      <c r="A18" s="34" t="s">
        <v>44</v>
      </c>
      <c r="B18" s="34">
        <v>-0.46784669994670297</v>
      </c>
      <c r="C18" s="34">
        <v>0.15919313022150292</v>
      </c>
      <c r="D18" s="34">
        <v>-2.9388623698506109</v>
      </c>
      <c r="E18" s="34">
        <v>8.1171131017871052E-3</v>
      </c>
      <c r="F18" s="34">
        <v>-0.79991775064459292</v>
      </c>
      <c r="G18" s="34">
        <v>-0.13577564924881302</v>
      </c>
      <c r="H18" s="34">
        <v>-0.79991775064459292</v>
      </c>
      <c r="I18" s="34">
        <v>-0.13577564924881302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7</vt:i4>
      </vt:variant>
    </vt:vector>
  </HeadingPairs>
  <TitlesOfParts>
    <vt:vector size="7" baseType="lpstr">
      <vt:lpstr>Cleaned_Data</vt:lpstr>
      <vt:lpstr>LaborMarket_WDI</vt:lpstr>
      <vt:lpstr>Descriptives</vt:lpstr>
      <vt:lpstr>Report</vt:lpstr>
      <vt:lpstr>Charts</vt:lpstr>
      <vt:lpstr>Analysis</vt:lpstr>
      <vt:lpstr>REG.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Atheer Binafif</dc:creator>
  <cp:lastModifiedBy>Atheer Binafif</cp:lastModifiedBy>
  <cp:lastPrinted>2025-11-01T12:09:23Z</cp:lastPrinted>
  <dcterms:created xsi:type="dcterms:W3CDTF">2025-10-26T19:22:28Z</dcterms:created>
  <dcterms:modified xsi:type="dcterms:W3CDTF">2026-10-07T12:31:45Z</dcterms:modified>
</cp:coreProperties>
</file>